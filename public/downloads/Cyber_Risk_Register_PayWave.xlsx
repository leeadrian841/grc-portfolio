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isk Methodology" sheetId="2" state="visible" r:id="rId4"/>
    <sheet name="Risk Register" sheetId="3" state="visible" r:id="rId5"/>
    <sheet name="Heat Map" sheetId="4" state="visible" r:id="rId6"/>
    <sheet name="Treatment Plan" sheetId="5" state="visible" r:id="rId7"/>
  </sheets>
  <definedNames>
    <definedName function="false" hidden="true" localSheetId="2" name="_xlnm._FilterDatabase" vbProcedure="false">'Risk Register'!$A$4:$W$20</definedName>
    <definedName function="false" hidden="true" localSheetId="4" name="_xlnm._FilterDatabase" vbProcedure="false">'Treatment Plan'!$A$4:$L$19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<sst xmlns="http://schemas.openxmlformats.org/spreadsheetml/2006/main" count="604" uniqueCount="433">
  <si>
    <t xml:space="preserve">Cyber Risk Dashboard — PayWave Solutions Pte. Ltd.</t>
  </si>
  <si>
    <t xml:space="preserve">Total Risks Identified</t>
  </si>
  <si>
    <t xml:space="preserve">Critical (Residual)</t>
  </si>
  <si>
    <t xml:space="preserve">High (Residual)</t>
  </si>
  <si>
    <t xml:space="preserve">Medium (Residual)</t>
  </si>
  <si>
    <t xml:space="preserve">Low (Residual)</t>
  </si>
  <si>
    <t xml:space="preserve">Residual Risk Distribution</t>
  </si>
  <si>
    <t xml:space="preserve">Risks by NIST CSF Function</t>
  </si>
  <si>
    <t xml:space="preserve">Treatment Decisions</t>
  </si>
  <si>
    <t xml:space="preserve">Rating</t>
  </si>
  <si>
    <t xml:space="preserve">Count</t>
  </si>
  <si>
    <t xml:space="preserve">Function</t>
  </si>
  <si>
    <t xml:space="preserve">Decision</t>
  </si>
  <si>
    <t xml:space="preserve">Critical</t>
  </si>
  <si>
    <t xml:space="preserve">Identify (ID)</t>
  </si>
  <si>
    <t xml:space="preserve">Mitigate</t>
  </si>
  <si>
    <t xml:space="preserve">High</t>
  </si>
  <si>
    <t xml:space="preserve">Protect (PR)</t>
  </si>
  <si>
    <t xml:space="preserve">Accept</t>
  </si>
  <si>
    <t xml:space="preserve">Medium</t>
  </si>
  <si>
    <t xml:space="preserve">Detect (DE)</t>
  </si>
  <si>
    <t xml:space="preserve">Transfer</t>
  </si>
  <si>
    <t xml:space="preserve">Low</t>
  </si>
  <si>
    <t xml:space="preserve">Respond (RS)</t>
  </si>
  <si>
    <t xml:space="preserve">Avoid</t>
  </si>
  <si>
    <t xml:space="preserve">Recover (RC)</t>
  </si>
  <si>
    <t xml:space="preserve">Treatment Budget Summary</t>
  </si>
  <si>
    <t xml:space="preserve">Priority</t>
  </si>
  <si>
    <t xml:space="preserve">Est. Budget (SGD)</t>
  </si>
  <si>
    <t xml:space="preserve">P1 (Months 1–3)</t>
  </si>
  <si>
    <t xml:space="preserve">$115,000 – $185,000</t>
  </si>
  <si>
    <t xml:space="preserve">P2 (Months 4–6)</t>
  </si>
  <si>
    <t xml:space="preserve">$76,000 – $127,000</t>
  </si>
  <si>
    <t xml:space="preserve">P3 (Months 7–12)</t>
  </si>
  <si>
    <t xml:space="preserve">$8,000 – $15,000</t>
  </si>
  <si>
    <t xml:space="preserve">TOTAL (Year 1)</t>
  </si>
  <si>
    <t xml:space="preserve">$199,000 – $327,000</t>
  </si>
  <si>
    <t xml:space="preserve">Cyber Risk Assessment Methodology — PayWave Solutions Pte. Ltd.</t>
  </si>
  <si>
    <t xml:space="preserve">Aligned to ISO 27005, NIST SP 800-30, and MAS TRM Guidelines</t>
  </si>
  <si>
    <t xml:space="preserve">1. Purpose</t>
  </si>
  <si>
    <t xml:space="preserve">This document defines the risk assessment methodology used to identify, analyse, evaluate, and treat information security risks for PayWave Solutions Pte. Ltd. The methodology applies to all information assets within the ISMS scope and supports compliance with ISO 27001:2022 Clause 6.1.2, MAS TRM Guidelines, PDPA, and PCI DSS.</t>
  </si>
  <si>
    <t xml:space="preserve">2. Likelihood Scale</t>
  </si>
  <si>
    <t xml:space="preserve">Score</t>
  </si>
  <si>
    <t xml:space="preserve">Description</t>
  </si>
  <si>
    <t xml:space="preserve">Frequency Benchmark</t>
  </si>
  <si>
    <t xml:space="preserve">Very Low</t>
  </si>
  <si>
    <t xml:space="preserve">The threat source is unlikely to exploit the vulnerability. Strong preventive controls exist.</t>
  </si>
  <si>
    <t xml:space="preserve">Less than once in 5 years</t>
  </si>
  <si>
    <t xml:space="preserve">The threat source could exploit the vulnerability but conditions are unfavourable or controls are in place.</t>
  </si>
  <si>
    <t xml:space="preserve">Once every 2–5 years</t>
  </si>
  <si>
    <t xml:space="preserve">Moderate</t>
  </si>
  <si>
    <t xml:space="preserve">The threat source is motivated and capable. Controls exist but are not comprehensive.</t>
  </si>
  <si>
    <t xml:space="preserve">Once per year</t>
  </si>
  <si>
    <t xml:space="preserve">The threat source is highly motivated and capable. Controls are weak or partial.</t>
  </si>
  <si>
    <t xml:space="preserve">Multiple times per year</t>
  </si>
  <si>
    <t xml:space="preserve">Very High</t>
  </si>
  <si>
    <t xml:space="preserve">The threat source is almost certain to exploit the vulnerability. Controls are absent or ineffective.</t>
  </si>
  <si>
    <t xml:space="preserve">Monthly or more frequently</t>
  </si>
  <si>
    <t xml:space="preserve">3. Impact Scale</t>
  </si>
  <si>
    <t xml:space="preserve">Financial Impact</t>
  </si>
  <si>
    <t xml:space="preserve">Operational Impact</t>
  </si>
  <si>
    <t xml:space="preserve">Regulatory Impact</t>
  </si>
  <si>
    <t xml:space="preserve">Reputational Impact</t>
  </si>
  <si>
    <t xml:space="preserve">Negligible</t>
  </si>
  <si>
    <t xml:space="preserve">&lt; SGD 10,000</t>
  </si>
  <si>
    <t xml:space="preserve">Minor inconvenience, no service disruption</t>
  </si>
  <si>
    <t xml:space="preserve">No regulatory interest</t>
  </si>
  <si>
    <t xml:space="preserve">No media attention</t>
  </si>
  <si>
    <t xml:space="preserve">Minor</t>
  </si>
  <si>
    <t xml:space="preserve">SGD 10,000 – 50,000</t>
  </si>
  <si>
    <t xml:space="preserve">Brief service degradation (&lt;1 hour), workaround available</t>
  </si>
  <si>
    <t xml:space="preserve">Informal regulatory inquiry</t>
  </si>
  <si>
    <t xml:space="preserve">Limited social media mentions</t>
  </si>
  <si>
    <t xml:space="preserve">SGD 50,000 – 250,000</t>
  </si>
  <si>
    <t xml:space="preserve">Service disruption 1–4 hours, partial loss of capability</t>
  </si>
  <si>
    <t xml:space="preserve">Formal MAS inquiry or PDPC investigation</t>
  </si>
  <si>
    <t xml:space="preserve">Local media coverage</t>
  </si>
  <si>
    <t xml:space="preserve">Major</t>
  </si>
  <si>
    <t xml:space="preserve">SGD 250,000 – 1,000,000</t>
  </si>
  <si>
    <t xml:space="preserve">Service outage 4–24 hours, significant data loss</t>
  </si>
  <si>
    <t xml:space="preserve">MAS enforcement action, PDPA fine up to SGD 1M</t>
  </si>
  <si>
    <t xml:space="preserve">National media coverage, customer churn</t>
  </si>
  <si>
    <t xml:space="preserve">Catastrophic</t>
  </si>
  <si>
    <t xml:space="preserve">&gt; SGD 1,000,000</t>
  </si>
  <si>
    <t xml:space="preserve">Extended outage &gt;24 hours, total loss of critical data</t>
  </si>
  <si>
    <t xml:space="preserve">MAS licence revocation threat, criminal prosecution</t>
  </si>
  <si>
    <t xml:space="preserve">Sustained negative coverage, mass customer exodus</t>
  </si>
  <si>
    <t xml:space="preserve">4. Risk Rating Thresholds</t>
  </si>
  <si>
    <t xml:space="preserve">Risk Score Range</t>
  </si>
  <si>
    <t xml:space="preserve">Risk Rating</t>
  </si>
  <si>
    <t xml:space="preserve">Response Required</t>
  </si>
  <si>
    <t xml:space="preserve">Escalation Level</t>
  </si>
  <si>
    <t xml:space="preserve">20–25</t>
  </si>
  <si>
    <t xml:space="preserve">Immediate action required within 48 hours. Risk owner and CISO must approve treatment plan.</t>
  </si>
  <si>
    <t xml:space="preserve">Board / CEO</t>
  </si>
  <si>
    <t xml:space="preserve">12–19</t>
  </si>
  <si>
    <t xml:space="preserve">Action required within 30 days. Dedicated project with named owner and tracked milestones.</t>
  </si>
  <si>
    <t xml:space="preserve">CISO / CTO</t>
  </si>
  <si>
    <t xml:space="preserve">6–11</t>
  </si>
  <si>
    <t xml:space="preserve">Action required within 90 days. Scheduled into next planning cycle.</t>
  </si>
  <si>
    <t xml:space="preserve">Department Head</t>
  </si>
  <si>
    <t xml:space="preserve">1–5</t>
  </si>
  <si>
    <t xml:space="preserve">Monitor and review at next scheduled risk review. Accept if within risk appetite.</t>
  </si>
  <si>
    <t xml:space="preserve">Risk Owner</t>
  </si>
  <si>
    <t xml:space="preserve">5. Risk Appetite Statement</t>
  </si>
  <si>
    <t xml:space="preserve">PayWave Solutions has a LOW risk appetite for information security risks due to its position as a regulated financial institution under MAS oversight. No Critical risks may be accepted. High risks may only be accepted with written CISO and CEO approval, time-bound to a maximum of 90 days. Medium and Low risks may be accepted by the risk owner with documented justification.</t>
  </si>
  <si>
    <t xml:space="preserve">Cyber Risk Register — PayWave Solutions Pte. Ltd.</t>
  </si>
  <si>
    <t xml:space="preserve">Assessment Date: 15 March 2026 | NIST CSF Aligned | Version 1.0 | Classification: CONFIDENTIAL</t>
  </si>
  <si>
    <t xml:space="preserve">Risk ID</t>
  </si>
  <si>
    <t xml:space="preserve">NIST CSF Function</t>
  </si>
  <si>
    <t xml:space="preserve">Risk Category</t>
  </si>
  <si>
    <t xml:space="preserve">Risk Title</t>
  </si>
  <si>
    <t xml:space="preserve">Risk Description</t>
  </si>
  <si>
    <t xml:space="preserve">Threat Source</t>
  </si>
  <si>
    <t xml:space="preserve">Threat Action</t>
  </si>
  <si>
    <t xml:space="preserve">Vulnerability</t>
  </si>
  <si>
    <t xml:space="preserve">Asset at Risk</t>
  </si>
  <si>
    <t xml:space="preserve">Data Classification</t>
  </si>
  <si>
    <t xml:space="preserve">Likelihood (1-5)</t>
  </si>
  <si>
    <t xml:space="preserve">Impact (1-5)</t>
  </si>
  <si>
    <t xml:space="preserve">Inherent Risk Score</t>
  </si>
  <si>
    <t xml:space="preserve">Inherent Rating</t>
  </si>
  <si>
    <t xml:space="preserve">Existing Controls</t>
  </si>
  <si>
    <t xml:space="preserve">Control Effectiveness</t>
  </si>
  <si>
    <t xml:space="preserve">Residual Likelihood</t>
  </si>
  <si>
    <t xml:space="preserve">Residual Impact</t>
  </si>
  <si>
    <t xml:space="preserve">Residual Risk Score</t>
  </si>
  <si>
    <t xml:space="preserve">Residual Rating</t>
  </si>
  <si>
    <t xml:space="preserve">Treatment Decision</t>
  </si>
  <si>
    <t xml:space="preserve">Treatment Reference</t>
  </si>
  <si>
    <t xml:space="preserve">CRR-001</t>
  </si>
  <si>
    <t xml:space="preserve">Access Control</t>
  </si>
  <si>
    <t xml:space="preserve">Privileged access abuse by developers</t>
  </si>
  <si>
    <t xml:space="preserve">Software developers retain standing production database access, enabling unauthorised viewing, modification, or exfiltration of customer PII and payment transaction data.</t>
  </si>
  <si>
    <t xml:space="preserve">Insider (developer)</t>
  </si>
  <si>
    <t xml:space="preserve">Privilege abuse / data exfiltration</t>
  </si>
  <si>
    <t xml:space="preserve">No PAM solution; developers have standing prod access; no session recording</t>
  </si>
  <si>
    <t xml:space="preserve">Production database (PostgreSQL)</t>
  </si>
  <si>
    <t xml:space="preserve">Restricted (PII + payment data)</t>
  </si>
  <si>
    <t xml:space="preserve">PCI DSS SoD for card data path only; code review required for PRs; annual background checks</t>
  </si>
  <si>
    <t xml:space="preserve">Weak</t>
  </si>
  <si>
    <t xml:space="preserve">CTO</t>
  </si>
  <si>
    <t xml:space="preserve">TRP-001</t>
  </si>
  <si>
    <t xml:space="preserve">CRR-002</t>
  </si>
  <si>
    <t xml:space="preserve">Security Monitoring</t>
  </si>
  <si>
    <t xml:space="preserve">Ransomware attack with delayed detection</t>
  </si>
  <si>
    <t xml:space="preserve">Ransomware deployed on corporate network goes undetected for hours or days due to absence of EDR and SIEM, encrypting critical business systems and potentially exfiltrating data before encryption.</t>
  </si>
  <si>
    <t xml:space="preserve">External (cybercriminal group)</t>
  </si>
  <si>
    <t xml:space="preserve">Malware deployment / double extortion</t>
  </si>
  <si>
    <t xml:space="preserve">No EDR on endpoints; no SIEM; CloudWatch monitors infra only; no behavioural analysis</t>
  </si>
  <si>
    <t xml:space="preserve">Corporate IT systems + file servers</t>
  </si>
  <si>
    <t xml:space="preserve">Confidential (business data)</t>
  </si>
  <si>
    <t xml:space="preserve">Antivirus (signature-based); CloudWatch CPU/memory alerts; quarterly penetration testing</t>
  </si>
  <si>
    <t xml:space="preserve">CISO</t>
  </si>
  <si>
    <t xml:space="preserve">TRP-002</t>
  </si>
  <si>
    <t xml:space="preserve">CRR-003</t>
  </si>
  <si>
    <t xml:space="preserve">Cloud Security</t>
  </si>
  <si>
    <t xml:space="preserve">S3 bucket misconfiguration exposing customer data</t>
  </si>
  <si>
    <t xml:space="preserve">AWS S3 bucket configured as publicly accessible due to developer error or IaC misconfiguration, exposing customer PII, merchant data, or transaction records to the internet.</t>
  </si>
  <si>
    <t xml:space="preserve">Human error (developer)</t>
  </si>
  <si>
    <t xml:space="preserve">Misconfiguration / data exposure</t>
  </si>
  <si>
    <t xml:space="preserve">No CSPM tool; IaC not enforced; no automated public-access detection; ad-hoc AWS resource creation</t>
  </si>
  <si>
    <t xml:space="preserve">AWS S3 buckets (customer data)</t>
  </si>
  <si>
    <t xml:space="preserve">Restricted (PII)</t>
  </si>
  <si>
    <t xml:space="preserve">Basic AWS tagging policy; manual reviews during quarterly security check; AWS GuardDuty (limited)</t>
  </si>
  <si>
    <t xml:space="preserve">DevOps Lead</t>
  </si>
  <si>
    <t xml:space="preserve">TRP-003</t>
  </si>
  <si>
    <t xml:space="preserve">CRR-004</t>
  </si>
  <si>
    <t xml:space="preserve">Incident Response</t>
  </si>
  <si>
    <t xml:space="preserve">PDPA breach notification failure</t>
  </si>
  <si>
    <t xml:space="preserve">Data breach affecting customer PII occurs but organisation fails to notify PDPC within the mandatory 72-hour window due to absence of a defined breach notification process, resulting in regulatory enforcement action.</t>
  </si>
  <si>
    <t xml:space="preserve">Regulatory non-compliance</t>
  </si>
  <si>
    <t xml:space="preserve">Failure to detect and report breach within timeframe</t>
  </si>
  <si>
    <t xml:space="preserve">No breach notification SOP; no authority contact register; IR plan covers fraud only; no PDPC escalation path</t>
  </si>
  <si>
    <t xml:space="preserve">Organisational (regulatory standing)</t>
  </si>
  <si>
    <t xml:space="preserve">N/A (process risk)</t>
  </si>
  <si>
    <t xml:space="preserve">Fraud-specific IR playbook exists; legal team aware of PDPA obligations (informally)</t>
  </si>
  <si>
    <t xml:space="preserve">DPO</t>
  </si>
  <si>
    <t xml:space="preserve">TRP-004</t>
  </si>
  <si>
    <t xml:space="preserve">CRR-005</t>
  </si>
  <si>
    <t xml:space="preserve">Vulnerability Management</t>
  </si>
  <si>
    <t xml:space="preserve">Exploitation of unpatched critical vulnerability</t>
  </si>
  <si>
    <t xml:space="preserve">Publicly disclosed critical vulnerability in production-facing application or infrastructure component remains unpatched beyond vendor advisory window, exploited by threat actor to gain initial access.</t>
  </si>
  <si>
    <t xml:space="preserve">External (opportunistic attacker)</t>
  </si>
  <si>
    <t xml:space="preserve">Exploitation of known CVE</t>
  </si>
  <si>
    <t xml:space="preserve">No continuous vulnerability scanner; quarterly pentests only; no patch SLA defined; no vulnerability register</t>
  </si>
  <si>
    <t xml:space="preserve">Production web application + APIs</t>
  </si>
  <si>
    <t xml:space="preserve">Restricted (payment data)</t>
  </si>
  <si>
    <t xml:space="preserve">Snyk for code dependencies; quarterly third-party penetration testing; ad-hoc OS patching</t>
  </si>
  <si>
    <t xml:space="preserve">TRP-005</t>
  </si>
  <si>
    <t xml:space="preserve">CRR-006</t>
  </si>
  <si>
    <t xml:space="preserve">Identity &amp; Authentication</t>
  </si>
  <si>
    <t xml:space="preserve">Credential compromise via phishing</t>
  </si>
  <si>
    <t xml:space="preserve">Employee credentials compromised through sophisticated phishing attack targeting engineering or finance staff, providing attacker with initial access to corporate email, cloud accounts, or payment systems.</t>
  </si>
  <si>
    <t xml:space="preserve">External (social engineering)</t>
  </si>
  <si>
    <t xml:space="preserve">Spear phishing / credential harvesting</t>
  </si>
  <si>
    <t xml:space="preserve">Generic annual security training; no role-based phishing awareness; MFA not enforced on all SaaS apps; no email DMARC enforcement</t>
  </si>
  <si>
    <t xml:space="preserve">Employee email accounts + SaaS apps</t>
  </si>
  <si>
    <t xml:space="preserve">Annual phishing simulation (40% fail rate); MFA on AWS console and VPN; Okta SSO for major apps</t>
  </si>
  <si>
    <t xml:space="preserve">TRP-006</t>
  </si>
  <si>
    <t xml:space="preserve">CRR-007</t>
  </si>
  <si>
    <t xml:space="preserve">Data Protection</t>
  </si>
  <si>
    <t xml:space="preserve">Data exfiltration via USB or personal cloud</t>
  </si>
  <si>
    <t xml:space="preserve">Employee or contractor copies sensitive data (customer PII, source code, financial reports) to personal USB device or cloud storage service, either maliciously or through negligent data handling.</t>
  </si>
  <si>
    <t xml:space="preserve">Insider (employee/contractor)</t>
  </si>
  <si>
    <t xml:space="preserve">Data theft / negligent data handling</t>
  </si>
  <si>
    <t xml:space="preserve">USB ports not restricted; no DLP agent on endpoints; no acceptable use policy; personal cloud storage (Dropbox, Google Drive) accessible</t>
  </si>
  <si>
    <t xml:space="preserve">Customer PII + source code + financial data</t>
  </si>
  <si>
    <t xml:space="preserve">Restricted / Confidential</t>
  </si>
  <si>
    <t xml:space="preserve">Full disk encryption on company laptops; exit interviews; annual background checks; NDAs in employment contracts</t>
  </si>
  <si>
    <t xml:space="preserve">IT Manager</t>
  </si>
  <si>
    <t xml:space="preserve">TRP-007</t>
  </si>
  <si>
    <t xml:space="preserve">CRR-008</t>
  </si>
  <si>
    <t xml:space="preserve">Secure Development</t>
  </si>
  <si>
    <t xml:space="preserve">Insecure code deployed to production</t>
  </si>
  <si>
    <t xml:space="preserve">Security vulnerabilities (SQL injection, XSS, SSRF, insecure deserialization) introduced in application code due to absence of SAST/DAST in CI/CD pipeline, reaching production and exploitable by external attackers.</t>
  </si>
  <si>
    <t xml:space="preserve">Introduction of exploitable code defects</t>
  </si>
  <si>
    <t xml:space="preserve">No SAST tool in CI/CD; no DAST scanning; no secure coding guidelines; no security champion program; code reviews focus on functionality not security</t>
  </si>
  <si>
    <t xml:space="preserve">Payment processing application + APIs</t>
  </si>
  <si>
    <t xml:space="preserve">Mandatory code reviews for all PRs; Snyk dependency scanning; quarterly external penetration testing</t>
  </si>
  <si>
    <t xml:space="preserve">Engineering Lead</t>
  </si>
  <si>
    <t xml:space="preserve">TRP-008</t>
  </si>
  <si>
    <t xml:space="preserve">CRR-009</t>
  </si>
  <si>
    <t xml:space="preserve">Third-Party Risk</t>
  </si>
  <si>
    <t xml:space="preserve">Supply chain compromise via SaaS vendor</t>
  </si>
  <si>
    <t xml:space="preserve">Critical SaaS vendor (CI/CD platform, cloud monitoring, or communication tool) suffers a security breach, exposing PayWave's data, credentials, or source code through the compromised vendor integration.</t>
  </si>
  <si>
    <t xml:space="preserve">Third-party (vendor breach)</t>
  </si>
  <si>
    <t xml:space="preserve">Supply chain attack / vendor compromise</t>
  </si>
  <si>
    <t xml:space="preserve">No formal TPRM program; no vendor security assessments; no contractual security requirements for SaaS vendors; API keys stored in vendor platforms</t>
  </si>
  <si>
    <t xml:space="preserve">Source code + deployment pipelines + internal communications</t>
  </si>
  <si>
    <t xml:space="preserve">Confidential</t>
  </si>
  <si>
    <t xml:space="preserve">Vendor selection considers reputation informally; API keys rotated on ad-hoc basis; SSO integration for major vendors</t>
  </si>
  <si>
    <t xml:space="preserve">TRP-009</t>
  </si>
  <si>
    <t xml:space="preserve">CRR-010</t>
  </si>
  <si>
    <t xml:space="preserve">Configuration Management</t>
  </si>
  <si>
    <t xml:space="preserve">Infrastructure drift from security baselines</t>
  </si>
  <si>
    <t xml:space="preserve">Production cloud infrastructure deviates from secure configuration baselines over time as developers make ad-hoc changes, introducing security weaknesses (open security groups, excessive IAM permissions, unencrypted volumes).</t>
  </si>
  <si>
    <t xml:space="preserve">Human error (developer/ops)</t>
  </si>
  <si>
    <t xml:space="preserve">Configuration drift / security regression</t>
  </si>
  <si>
    <t xml:space="preserve">No CIS benchmark adoption; no IaC enforcement; no configuration drift detection; AWS resources deployed manually</t>
  </si>
  <si>
    <t xml:space="preserve">AWS infrastructure (VPCs, EC2, RDS, IAM)</t>
  </si>
  <si>
    <t xml:space="preserve">Restricted (hosts payment data)</t>
  </si>
  <si>
    <t xml:space="preserve">Basic AWS tagging; some Terraform modules (inconsistent adoption); quarterly manual security review</t>
  </si>
  <si>
    <t xml:space="preserve">TRP-010</t>
  </si>
  <si>
    <t xml:space="preserve">CRR-011</t>
  </si>
  <si>
    <t xml:space="preserve">Business Continuity</t>
  </si>
  <si>
    <t xml:space="preserve">Extended outage of corporate IT during disaster</t>
  </si>
  <si>
    <t xml:space="preserve">Disaster (fire, flood, prolonged power outage at data centre) renders corporate IT systems (email, HR, Jira, Slack) unavailable for &gt;24 hours. BCP covers payment engine only; corporate systems have no documented RTO/RPO.</t>
  </si>
  <si>
    <t xml:space="preserve">Environmental / infrastructure failure</t>
  </si>
  <si>
    <t xml:space="preserve">Service disruption / data unavailability</t>
  </si>
  <si>
    <t xml:space="preserve">BCP covers payment processing only; no DR plan for corporate IT; RTO/RPO not defined for non-payment systems</t>
  </si>
  <si>
    <t xml:space="preserve">Corporate IT systems (email, Jira, Slack, HRIS)</t>
  </si>
  <si>
    <t xml:space="preserve">Internal</t>
  </si>
  <si>
    <t xml:space="preserve">AWS multi-AZ for payment platform; daily backups of production databases; BCP tested annually (payment engine only)</t>
  </si>
  <si>
    <t xml:space="preserve">TRP-011</t>
  </si>
  <si>
    <t xml:space="preserve">CRR-012</t>
  </si>
  <si>
    <t xml:space="preserve">Physical Security</t>
  </si>
  <si>
    <t xml:space="preserve">Unauthorised physical access via tailgating</t>
  </si>
  <si>
    <t xml:space="preserve">Unauthorised individual gains physical access to office space by tailgating through the main entrance, potentially accessing sensitive areas including the server room, whiteboards with architecture diagrams, or unattended workstations.</t>
  </si>
  <si>
    <t xml:space="preserve">Social engineering (physical)</t>
  </si>
  <si>
    <t xml:space="preserve">Tailgating / impersonation</t>
  </si>
  <si>
    <t xml:space="preserve">No anti-tailgating controls at main entrance; no visitor escort policy; CCTV does not cover all sensitive areas</t>
  </si>
  <si>
    <t xml:space="preserve">Server room + office workstations + whiteboards</t>
  </si>
  <si>
    <t xml:space="preserve">Internal / Confidential</t>
  </si>
  <si>
    <t xml:space="preserve">Grade-A building with lobby security; biometric access to server room; CCTV in server room and reception; 30-day video retention</t>
  </si>
  <si>
    <t xml:space="preserve">Strong</t>
  </si>
  <si>
    <t xml:space="preserve">Office Manager</t>
  </si>
  <si>
    <t xml:space="preserve">N/A</t>
  </si>
  <si>
    <t xml:space="preserve">CRR-013</t>
  </si>
  <si>
    <t xml:space="preserve">Data Governance</t>
  </si>
  <si>
    <t xml:space="preserve">PII mishandling due to absent classification scheme</t>
  </si>
  <si>
    <t xml:space="preserve">Customer PII handled inconsistently across departments due to lack of formal data classification scheme — PII shared via Slack, stored in personal drives, included in unencrypted email attachments — increasing probability of data breach.</t>
  </si>
  <si>
    <t xml:space="preserve">Human error (staff)</t>
  </si>
  <si>
    <t xml:space="preserve">Negligent data handling / accidental disclosure</t>
  </si>
  <si>
    <t xml:space="preserve">No formal data classification scheme; no data labelling standard; no DLP rules; PII data flows not mapped</t>
  </si>
  <si>
    <t xml:space="preserve">Customer PII across all systems</t>
  </si>
  <si>
    <t xml:space="preserve">Informal classification awareness during onboarding; encryption at rest for production databases; NDAs in contracts</t>
  </si>
  <si>
    <t xml:space="preserve">TRP-012</t>
  </si>
  <si>
    <t xml:space="preserve">CRR-014</t>
  </si>
  <si>
    <t xml:space="preserve">Logging &amp; Audit Trail</t>
  </si>
  <si>
    <t xml:space="preserve">Insufficient log retention for forensic investigation</t>
  </si>
  <si>
    <t xml:space="preserve">Security incident occurs but forensic investigation is hampered by 14-day log retention period — evidence of attacker activity, lateral movement, or data exfiltration is overwritten before investigation begins.</t>
  </si>
  <si>
    <t xml:space="preserve">External / Insider</t>
  </si>
  <si>
    <t xml:space="preserve">Log destruction / evidence loss</t>
  </si>
  <si>
    <t xml:space="preserve">14-day log retention only; no log integrity controls (hashing); no SIEM for correlation; PDPA and MAS TRM require longer retention</t>
  </si>
  <si>
    <t xml:space="preserve">Security logs (CloudTrail, application, access logs)</t>
  </si>
  <si>
    <t xml:space="preserve">CloudTrail enabled for AWS; application logs in CloudWatch; centralised logging via ELK stack</t>
  </si>
  <si>
    <t xml:space="preserve">TRP-013</t>
  </si>
  <si>
    <t xml:space="preserve">CRR-015</t>
  </si>
  <si>
    <t xml:space="preserve">Cryptography</t>
  </si>
  <si>
    <t xml:space="preserve">Expired or weak TLS certificates on public endpoints</t>
  </si>
  <si>
    <t xml:space="preserve">TLS certificates on public-facing payment APIs or merchant portal expire without notice or use deprecated cipher suites, causing service disruption (certificate errors) or enabling man-in-the-middle attacks.</t>
  </si>
  <si>
    <t xml:space="preserve">Human error (ops)</t>
  </si>
  <si>
    <t xml:space="preserve">Certificate expiry / weak cryptography</t>
  </si>
  <si>
    <t xml:space="preserve">No certificate lifecycle management tool; renewal tracked manually in spreadsheet; no automated alerting for expiry</t>
  </si>
  <si>
    <t xml:space="preserve">Public-facing payment APIs + merchant portal</t>
  </si>
  <si>
    <t xml:space="preserve">Restricted (payment data in transit)</t>
  </si>
  <si>
    <t xml:space="preserve">TLS 1.2+ enforced on all external connections; AWS ACM for some certificates; manual renewal tracking</t>
  </si>
  <si>
    <t xml:space="preserve">TRP-014</t>
  </si>
  <si>
    <t xml:space="preserve">CRR-016</t>
  </si>
  <si>
    <t xml:space="preserve">Orphaned accounts after employee departure</t>
  </si>
  <si>
    <t xml:space="preserve">SaaS application accounts (Slack, Jira, Figma, GitHub) remain active after employee departure due to incomplete offboarding checklist, providing potential attack vector if credentials are compromised post-employment.</t>
  </si>
  <si>
    <t xml:space="preserve">Process gap / former employee</t>
  </si>
  <si>
    <t xml:space="preserve">Account persistence / credential reuse</t>
  </si>
  <si>
    <t xml:space="preserve">Offboarding checklist does not cover SaaS access revocation; no automated provisioning/deprovisioning; no periodic SaaS access review</t>
  </si>
  <si>
    <t xml:space="preserve">SaaS applications (Slack, Jira, Figma, GitHub)</t>
  </si>
  <si>
    <t xml:space="preserve">Confidential (source code + internal comms)</t>
  </si>
  <si>
    <t xml:space="preserve">AD account disabled on last day; laptop returned; badge deactivated; exit interview conducted</t>
  </si>
  <si>
    <t xml:space="preserve">IT Manager / HR</t>
  </si>
  <si>
    <t xml:space="preserve">TRP-015</t>
  </si>
  <si>
    <t xml:space="preserve">Likelihood-Impact Heat Map — Residual Risk</t>
  </si>
  <si>
    <t xml:space="preserve">I M P A C T  →</t>
  </si>
  <si>
    <t xml:space="preserve">1
Negligible</t>
  </si>
  <si>
    <t xml:space="preserve">2
Minor</t>
  </si>
  <si>
    <t xml:space="preserve">3
Moderate</t>
  </si>
  <si>
    <t xml:space="preserve">4
Major</t>
  </si>
  <si>
    <t xml:space="preserve">5
Catastrophic</t>
  </si>
  <si>
    <t xml:space="preserve">L
I
K
E
L
I
H
O
O
D
↑</t>
  </si>
  <si>
    <t xml:space="preserve">1  Very Low</t>
  </si>
  <si>
    <t xml:space="preserve">2  Low</t>
  </si>
  <si>
    <t xml:space="preserve">Critical
(16)
CRR-010</t>
  </si>
  <si>
    <t xml:space="preserve">Critical
(20)
CRR-002, CRR-003</t>
  </si>
  <si>
    <t xml:space="preserve">3  Moderate</t>
  </si>
  <si>
    <t xml:space="preserve">High
(9)
CRR-006, CRR-008
CRR-007
CRR-013
CRR-014</t>
  </si>
  <si>
    <t xml:space="preserve">High
(12)
CRR-001
CRR-005
CRR-009</t>
  </si>
  <si>
    <t xml:space="preserve">Critical
(15)
CRR-004</t>
  </si>
  <si>
    <t xml:space="preserve">4  High</t>
  </si>
  <si>
    <t xml:space="preserve">Medium
(4)
CRR-016</t>
  </si>
  <si>
    <t xml:space="preserve">Medium
(6)
CRR-011
CRR-015</t>
  </si>
  <si>
    <t xml:space="preserve">5  Very High</t>
  </si>
  <si>
    <t xml:space="preserve">Low
(2)
CRR-012</t>
  </si>
  <si>
    <t xml:space="preserve">Legend:</t>
  </si>
  <si>
    <t xml:space="preserve">Critical (20–25)</t>
  </si>
  <si>
    <t xml:space="preserve">High (12–19)</t>
  </si>
  <si>
    <t xml:space="preserve">Medium (6–11)</t>
  </si>
  <si>
    <t xml:space="preserve">Low (1–5)</t>
  </si>
  <si>
    <t xml:space="preserve">Risk Treatment Plan — PayWave Solutions Pte. Ltd.</t>
  </si>
  <si>
    <t xml:space="preserve">Linked to Cyber Risk Register v1.0 | Treatment timeline: 12 months | Version 1.0</t>
  </si>
  <si>
    <t xml:space="preserve">Ref</t>
  </si>
  <si>
    <t xml:space="preserve">Treatment Action</t>
  </si>
  <si>
    <t xml:space="preserve">Expected Outcome</t>
  </si>
  <si>
    <t xml:space="preserve">Owner</t>
  </si>
  <si>
    <t xml:space="preserve">Target Date</t>
  </si>
  <si>
    <t xml:space="preserve">Estimated Cost (SGD)</t>
  </si>
  <si>
    <t xml:space="preserve">Dependencies</t>
  </si>
  <si>
    <t xml:space="preserve">Success KPI</t>
  </si>
  <si>
    <t xml:space="preserve">Status</t>
  </si>
  <si>
    <t xml:space="preserve">Deploy PAM solution (CyberArk or Delinea) for all privileged accounts. Remove standing developer access to production databases. Implement just-in-time (JIT) access with session recording and 4-hour maximum duration. Create break-glass procedure with mandatory post-incident review.</t>
  </si>
  <si>
    <t xml:space="preserve">Zero standing privileged access to production. All privileged sessions recorded and auditable. Break-glass events reviewed within 24 hours.</t>
  </si>
  <si>
    <t xml:space="preserve">P1</t>
  </si>
  <si>
    <t xml:space="preserve">Month 2</t>
  </si>
  <si>
    <t xml:space="preserve">$25,000–40,000/yr</t>
  </si>
  <si>
    <t xml:space="preserve">Vendor selection; dev team onboarding; break-glass SOP approval</t>
  </si>
  <si>
    <t xml:space="preserve">0 standing dev accounts with prod access; 100% privileged sessions recorded; break-glass usage &lt;2x/month</t>
  </si>
  <si>
    <t xml:space="preserve">Not Started</t>
  </si>
  <si>
    <t xml:space="preserve">Deploy EDR solution (CrowdStrike Falcon) on all endpoints (company laptops, desktops, servers). Deploy SIEM (Microsoft Sentinel) with correlation rules for ransomware indicators. Implement automated containment playbook for ransomware detection. Extend IR plan to cover ransomware scenarios with tabletop exercise.</t>
  </si>
  <si>
    <t xml:space="preserve">Ransomware detected within minutes. Automated containment isolates affected endpoints. CSIRT responds within 1 hour of alert.</t>
  </si>
  <si>
    <t xml:space="preserve">Month 3</t>
  </si>
  <si>
    <t xml:space="preserve">$45,000–70,000/yr</t>
  </si>
  <si>
    <t xml:space="preserve">EDR vendor selection; SIEM integration with CloudTrail/ELK; IR plan expansion; CSIRT formation</t>
  </si>
  <si>
    <t xml:space="preserve">MTTD for ransomware &lt;15 minutes; automated containment &lt;5 minutes; tabletop exercise completed quarterly</t>
  </si>
  <si>
    <t xml:space="preserve">Deploy CSPM tool (Prowler for AWS or AWS Security Hub with conformance packs). Enforce Infrastructure-as-Code (Terraform) for all AWS resource provisioning with pre-commit security guardrails (Checkov/tfsec). Block manual S3 bucket creation via SCP. Implement automated public-access alerting with auto-remediation.</t>
  </si>
  <si>
    <t xml:space="preserve">All S3 buckets private by default. Configuration drift detected within 1 hour. Manual resource creation blocked.</t>
  </si>
  <si>
    <t xml:space="preserve">$15,000–25,000/yr</t>
  </si>
  <si>
    <t xml:space="preserve">IaC adoption by dev teams; SCP policy approval; CSPM vendor selection</t>
  </si>
  <si>
    <t xml:space="preserve">0 publicly accessible S3 buckets; 100% of new infra via IaC; CSPM scan pass rate &gt;95%</t>
  </si>
  <si>
    <t xml:space="preserve">Create PDPA breach notification SOP with step-by-step workflow, template notification letters (to PDPC and affected individuals), and escalation path. Build regulatory authority contact register (MAS, PDPC, CSA Singapore, SPF). Conduct breach notification tabletop exercise. Train DPO and legal team.</t>
  </si>
  <si>
    <t xml:space="preserve">Breach notification process documented and tested. PDPC notified within 72 hours of qualifying breach. Contact register maintained and current.</t>
  </si>
  <si>
    <t xml:space="preserve">DPO / Legal</t>
  </si>
  <si>
    <t xml:space="preserve">Month 1</t>
  </si>
  <si>
    <t xml:space="preserve">$5,000–10,000</t>
  </si>
  <si>
    <t xml:space="preserve">Legal review of notification templates; PDPC guidance review; tabletop scenario development</t>
  </si>
  <si>
    <t xml:space="preserve">Breach notification SOP published; tabletop completed with &lt;72hr notification achieved; contact register reviewed quarterly</t>
  </si>
  <si>
    <t xml:space="preserve">Deploy continuous vulnerability scanner (Qualys or Tenable) for infrastructure and web applications. Define and enforce patch SLAs: Critical 48 hours, High 7 days, Medium 30 days, Low 90 days. Create vulnerability register with tracking dashboard. Integrate scanner findings into Jira for developer remediation.</t>
  </si>
  <si>
    <t xml:space="preserve">Continuous visibility of all vulnerabilities. Critical vulnerabilities patched within 48 hours. Vulnerability backlog managed and reducing.</t>
  </si>
  <si>
    <t xml:space="preserve">$20,000–35,000/yr</t>
  </si>
  <si>
    <t xml:space="preserve">Scanner deployment across all environments; patch SLA approval; Jira integration</t>
  </si>
  <si>
    <t xml:space="preserve">Zero critical vulns &gt;48 hours; high vulns &gt;7 days &lt;5%; scanner coverage 100% of prod assets</t>
  </si>
  <si>
    <t xml:space="preserve">Implement role-based security awareness training: secure coding module for engineers (OWASP Top 10 + secure API design), financial fraud awareness for finance team, PII handling for HR and customer support. Deploy advanced phishing simulation (monthly cadence, varied scenarios). Enforce MFA on all SaaS applications via Okta conditional access. Implement DMARC enforcement on corporate email domain.</t>
  </si>
  <si>
    <t xml:space="preserve">Phishing click rate reduced to &lt;10%. All SaaS applications protected by MFA. Email domain protected against spoofing.</t>
  </si>
  <si>
    <t xml:space="preserve">CISO / HR</t>
  </si>
  <si>
    <t xml:space="preserve">P2</t>
  </si>
  <si>
    <t xml:space="preserve">Month 4</t>
  </si>
  <si>
    <t xml:space="preserve">$15,000–25,000</t>
  </si>
  <si>
    <t xml:space="preserve">LMS procurement; phishing sim platform; Okta conditional access configuration; DMARC DNS records</t>
  </si>
  <si>
    <t xml:space="preserve">Phishing click rate &lt;10% (from 40%); MFA coverage 100% SaaS apps; DMARC at p=reject</t>
  </si>
  <si>
    <t xml:space="preserve">Deploy endpoint DLP agent (Microsoft Purview or Symantec) with rules for PII and source code detection. Disable USB mass storage on all company endpoints via GPO/MDM. Enforce MDM enrolment for all BYOD devices accessing corporate email. Draft and publish Acceptable Use Policy covering personal cloud storage, USB devices, and BYOD.</t>
  </si>
  <si>
    <t xml:space="preserve">Data exfiltration channels closed. USB storage blocked. BYOD devices managed. AUP signed by all staff.</t>
  </si>
  <si>
    <t xml:space="preserve">$12,000–20,000/yr</t>
  </si>
  <si>
    <t xml:space="preserve">DLP solution selection; GPO deployment; AUP drafting and legal review; MDM policy update</t>
  </si>
  <si>
    <t xml:space="preserve">USB storage blocked on 100% endpoints; BYOD MDM compliance 100%; AUP signed by 100% staff within 30 days</t>
  </si>
  <si>
    <t xml:space="preserve">Integrate SAST tool (SonarQube) into CI/CD pipeline — all PRs must pass security scan before merge. Add DAST scanner (OWASP ZAP) to staging environment deployment pipeline. Publish secure coding guidelines document (based on OWASP ASVS). Appoint security champion per engineering squad (4 champions). Conduct quarterly secure coding workshops.</t>
  </si>
  <si>
    <t xml:space="preserve">Security vulnerabilities caught before production. Developers trained in secure coding. Security embedded in engineering culture.</t>
  </si>
  <si>
    <t xml:space="preserve">Month 5</t>
  </si>
  <si>
    <t xml:space="preserve">$18,000–30,000/yr</t>
  </si>
  <si>
    <t xml:space="preserve">SAST/DAST tool selection; CI/CD pipeline modification; secure coding guidelines drafting; champion nomination</t>
  </si>
  <si>
    <t xml:space="preserve">Zero critical/high SAST findings in production deployments; DAST scan pass rate &gt;90%; security champion coverage 100% of squads</t>
  </si>
  <si>
    <t xml:space="preserve">Establish formal Third-Party Risk Management (TPRM) program. Design vendor risk questionnaire covering data handling, security controls, business continuity, and sub-contractors. Conduct security assessments of all critical SaaS vendors (Tier 1). Add security requirements to vendor contracts (data protection clauses, breach notification, right to audit). Implement API key rotation policy (90-day maximum).</t>
  </si>
  <si>
    <t xml:space="preserve">All critical vendors assessed for security posture. Contractual security requirements in place. API keys rotated regularly.</t>
  </si>
  <si>
    <t xml:space="preserve">$10,000–15,000</t>
  </si>
  <si>
    <t xml:space="preserve">Vendor questionnaire design; legal review of contract clauses; vendor inventory compilation; API key audit</t>
  </si>
  <si>
    <t xml:space="preserve">100% Tier 1 vendors assessed; security clauses in 100% of new/renewed contracts; API keys rotated within 90 days</t>
  </si>
  <si>
    <t xml:space="preserve">Adopt CIS benchmarks for AWS (CIS AWS Foundations Benchmark v3.0) and endpoint OS (CIS Ubuntu 24.04). Enforce all new infrastructure via Terraform with pre-commit security scanning (Checkov). Deploy AWS Config rules for continuous configuration compliance monitoring. Implement automated drift detection with alerting to DevOps Slack channel and auto-remediation for critical drifts.</t>
  </si>
  <si>
    <t xml:space="preserve">All infrastructure deployed from hardened baselines. Configuration drift detected and alerted within 1 hour. Compliance score tracked and improving.</t>
  </si>
  <si>
    <t xml:space="preserve">CIS benchmark customisation; Terraform module library; AWS Config rule deployment; drift alerting setup</t>
  </si>
  <si>
    <t xml:space="preserve">CIS benchmark compliance &gt;85% on monthly scan; 100% new infra via IaC; drift alerts resolved within 4 hours</t>
  </si>
  <si>
    <t xml:space="preserve">Extend BCP to cover all corporate IT systems (email, Jira, Slack, HRIS, finance). Define RTO and RPO targets for each corporate system. Conduct DR test covering both payment and corporate IT systems. Document failover procedures for each critical system.</t>
  </si>
  <si>
    <t xml:space="preserve">BCP covers full organisational scope. RTO/RPO defined and tested for all critical systems. DR test validates recovery capability.</t>
  </si>
  <si>
    <t xml:space="preserve">Month 6</t>
  </si>
  <si>
    <t xml:space="preserve">$8,000–15,000</t>
  </si>
  <si>
    <t xml:space="preserve">BCP scope expansion; RTO/RPO workshops with each department; DR test planning</t>
  </si>
  <si>
    <t xml:space="preserve">BCP v2.0 covering all critical systems; DR test meets RTO/RPO targets; annual DR test cadence established</t>
  </si>
  <si>
    <t xml:space="preserve">Define 4-tier data classification scheme (Public, Internal, Confidential, Restricted). Implement document labelling standard for all new documents and emails. Map PII data flows across all systems (production, SaaS, backups, analytics). Create data handling procedures for each classification level. Train all staff on classification scheme.</t>
  </si>
  <si>
    <t xml:space="preserve">All data classified and labelled. PII data flows mapped and controlled. Staff trained on handling requirements per classification.</t>
  </si>
  <si>
    <t xml:space="preserve">Classification scheme design; labelling tool integration; PII data flow mapping workshops</t>
  </si>
  <si>
    <t xml:space="preserve">Classification scheme published; PII data flow map complete; 100% staff trained within 60 days</t>
  </si>
  <si>
    <t xml:space="preserve">Extend log retention to 12 months (CloudTrail, application logs, access logs, security events). Implement log integrity verification via cryptographic hashing (SHA-256) to prevent tampering. Deploy SIEM (links to TRP-002) for log correlation and alerting. Archive logs to immutable storage (S3 Object Lock with compliance mode).</t>
  </si>
  <si>
    <t xml:space="preserve">12-month log retention meeting regulatory requirements. Log integrity assured via hashing. Immutable storage prevents tampering.</t>
  </si>
  <si>
    <t xml:space="preserve">$8,000–12,000/yr</t>
  </si>
  <si>
    <t xml:space="preserve">S3 Object Lock configuration; hash pipeline development; SIEM integration (shared with TRP-002)</t>
  </si>
  <si>
    <t xml:space="preserve">12-month retention verified; integrity hashes generated for 100% of log streams; immutable storage active</t>
  </si>
  <si>
    <t xml:space="preserve">Deploy certificate lifecycle management tool (AWS Certificate Manager for AWS resources, Venafi or cert-manager for others). Implement automated certificate renewal with 30-day advance alerting. Audit all existing certificates and migrate to ACM where possible. Deprecate TLS 1.0/1.1 across all endpoints.</t>
  </si>
  <si>
    <t xml:space="preserve">Zero certificate-related service disruptions. All certificates auto-renewed or alerted 30 days before expiry. TLS 1.2+ enforced everywhere.</t>
  </si>
  <si>
    <t xml:space="preserve">P3</t>
  </si>
  <si>
    <t xml:space="preserve">Month 7</t>
  </si>
  <si>
    <t xml:space="preserve">$5,000–10,000/yr</t>
  </si>
  <si>
    <t xml:space="preserve">Certificate audit; ACM migration; Venafi/cert-manager evaluation</t>
  </si>
  <si>
    <t xml:space="preserve">Zero cert expiry incidents; 100% certs in lifecycle management tool; TLS 1.2+ enforced on all endpoints</t>
  </si>
  <si>
    <t xml:space="preserve">Add SaaS access revocation to offboarding checklist (Slack, Jira, Figma, GitHub, AWS, all Okta-integrated apps). Implement automated deprovisioning via Okta lifecycle management for integrated apps. Conduct quarterly SaaS access review for orphaned accounts. Send NDA reminder email on employee's last day.</t>
  </si>
  <si>
    <t xml:space="preserve">Zero orphaned SaaS accounts after employee departure. Automated deprovisioning for Okta-integrated apps. Quarterly review catches non-integrated app access.</t>
  </si>
  <si>
    <t xml:space="preserve">$3,000–5,000</t>
  </si>
  <si>
    <t xml:space="preserve">Okta lifecycle configuration; offboarding checklist update; SaaS inventory compilation</t>
  </si>
  <si>
    <t xml:space="preserve">Zero orphaned accounts found in quarterly review; deprovisioning automated for &gt;80% of SaaS apps; NDA reminder sent to 100% of departing staff</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</si>
</sst>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666666"/>
      <name val="Arial"/>
      <family val="0"/>
      <charset val="1"/>
    </font>
    <font>
      <b val="true"/>
      <sz val="22"/>
      <color rgb="FF2E75B6"/>
      <name val="Arial"/>
      <family val="0"/>
      <charset val="1"/>
    </font>
    <font>
      <b val="true"/>
      <sz val="22"/>
      <color rgb="FFC00000"/>
      <name val="Arial"/>
      <family val="0"/>
      <charset val="1"/>
    </font>
    <font>
      <b val="true"/>
      <sz val="22"/>
      <color rgb="FFFF6B6B"/>
      <name val="Arial"/>
      <family val="0"/>
      <charset val="1"/>
    </font>
    <font>
      <b val="true"/>
      <sz val="22"/>
      <color rgb="FFBF8F00"/>
      <name val="Arial"/>
      <family val="0"/>
      <charset val="1"/>
    </font>
    <font>
      <b val="true"/>
      <sz val="22"/>
      <color rgb="FF538135"/>
      <name val="Arial"/>
      <family val="0"/>
      <charset val="1"/>
    </font>
    <font>
      <b val="true"/>
      <sz val="11"/>
      <color rgb="FF1F3864"/>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i val="true"/>
      <sz val="10"/>
      <color rgb="FF666666"/>
      <name val="Arial"/>
      <family val="0"/>
      <charset val="1"/>
    </font>
    <font>
      <b val="true"/>
      <sz val="11"/>
      <color rgb="FFFFFFFF"/>
      <name val="Arial"/>
      <family val="0"/>
      <charset val="1"/>
    </font>
    <font>
      <b val="true"/>
      <sz val="10"/>
      <color rgb="FFFFFFFF"/>
      <name val="Arial"/>
      <family val="0"/>
      <charset val="1"/>
    </font>
    <font>
      <b val="true"/>
      <sz val="10"/>
      <color rgb="FF000000"/>
      <name val="Arial"/>
      <family val="0"/>
      <charset val="1"/>
    </font>
    <font>
      <i val="true"/>
      <sz val="9"/>
      <color rgb="FF666666"/>
      <name val="Arial"/>
      <family val="0"/>
      <charset val="1"/>
    </font>
    <font>
      <b val="true"/>
      <sz val="9"/>
      <color rgb="FFFFFFFF"/>
      <name val="Arial"/>
      <family val="0"/>
      <charset val="1"/>
    </font>
    <font>
      <b val="true"/>
      <sz val="9"/>
      <color rgb="FF1F3864"/>
      <name val="Arial"/>
      <family val="0"/>
      <charset val="1"/>
    </font>
    <font>
      <b val="true"/>
      <sz val="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2F2F2"/>
        <bgColor rgb="FFF9F9F9"/>
      </patternFill>
    </fill>
    <fill>
      <patternFill patternType="solid">
        <fgColor rgb="FFFF0000"/>
        <bgColor rgb="FFC00000"/>
      </patternFill>
    </fill>
    <fill>
      <patternFill patternType="solid">
        <fgColor rgb="FFFF6B6B"/>
        <bgColor rgb="FFFF6600"/>
      </patternFill>
    </fill>
    <fill>
      <patternFill patternType="solid">
        <fgColor rgb="FFFFD93D"/>
        <bgColor rgb="FFFFEB9C"/>
      </patternFill>
    </fill>
    <fill>
      <patternFill patternType="solid">
        <fgColor rgb="FF6BCB77"/>
        <bgColor rgb="FF99CC00"/>
      </patternFill>
    </fill>
    <fill>
      <patternFill patternType="solid">
        <fgColor rgb="FF538135"/>
        <bgColor rgb="FF6666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65" fontId="9" fillId="0" borderId="0"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19" fillId="7"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right" vertical="center" textRotation="0" wrapText="tru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4" fontId="23" fillId="6" borderId="1"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C6EFCE"/>
          <bgColor rgb="FF000000"/>
        </patternFill>
      </fill>
    </dxf>
    <dxf>
      <fill>
        <patternFill patternType="solid">
          <fgColor rgb="FF006100"/>
          <bgColor rgb="FF000000"/>
        </patternFill>
      </fill>
    </dxf>
    <dxf>
      <font>
        <b val="1"/>
        <color rgb="FFFFFFFF"/>
      </font>
      <fill>
        <patternFill>
          <bgColor rgb="FFFF0000"/>
        </patternFill>
      </fill>
    </dxf>
    <dxf>
      <font>
        <b val="1"/>
        <color rgb="FF9C0006"/>
      </font>
      <fill>
        <patternFill>
          <bgColor rgb="FFFFC7CE"/>
        </patternFill>
      </fill>
    </dxf>
    <dxf>
      <font>
        <b val="1"/>
        <color rgb="FF9C6500"/>
      </font>
      <fill>
        <patternFill>
          <bgColor rgb="FFFFEB9C"/>
        </patternFill>
      </fill>
    </dxf>
    <dxf>
      <font>
        <b val="1"/>
        <color rgb="FF006100"/>
      </font>
      <fill>
        <patternFill>
          <bgColor rgb="FFC6EFCE"/>
        </patternFill>
      </fill>
    </dxf>
    <dxf>
      <fill>
        <patternFill patternType="solid">
          <fgColor rgb="FF538135"/>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CCCCC"/>
      <rgbColor rgb="FF878787"/>
      <rgbColor rgb="FF9999FF"/>
      <rgbColor rgb="FF7030A0"/>
      <rgbColor rgb="FFF9F9F9"/>
      <rgbColor rgb="FFF2F2F2"/>
      <rgbColor rgb="FF660066"/>
      <rgbColor rgb="FFFF6B6B"/>
      <rgbColor rgb="FF0066CC"/>
      <rgbColor rgb="FFD9D9D9"/>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2E75B6"/>
      <rgbColor rgb="FF6BCB77"/>
      <rgbColor rgb="FF99CC00"/>
      <rgbColor rgb="FFFFD93D"/>
      <rgbColor rgb="FFBF8F00"/>
      <rgbColor rgb="FFFF6600"/>
      <rgbColor rgb="FF666666"/>
      <rgbColor rgb="FF4F81BD"/>
      <rgbColor rgb="FF1F3864"/>
      <rgbColor rgb="FF53813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Residual risk distribution</a:t>
            </a:r>
          </a:p>
        </c:rich>
      </c:tx>
      <c:overlay val="0"/>
      <c:spPr>
        <a:noFill/>
        <a:ln w="0">
          <a:noFill/>
        </a:ln>
      </c:spPr>
    </c:title>
    <c:autoTitleDeleted val="0"/>
    <c:plotArea>
      <c:pieChart>
        <c:varyColors val="1"/>
        <c:ser>
          <c:idx val="0"/>
          <c:order val="0"/>
          <c:tx>
            <c:strRef>
              <c:f>Dashboard!B8</c:f>
              <c:strCache>
                <c:ptCount val="1"/>
                <c:pt idx="0">
                  <c:v>Count</c:v>
                </c:pt>
              </c:strCache>
            </c:strRef>
          </c:tx>
          <c:spPr>
            <a:solidFill>
              <a:srgbClr val="4f81bd"/>
            </a:solidFill>
            <a:ln w="9360">
              <a:solidFill>
                <a:srgbClr val="f9f9f9"/>
              </a:solidFill>
              <a:round/>
            </a:ln>
          </c:spPr>
          <c:explosion val="0"/>
          <c:dPt>
            <c:idx val="0"/>
            <c:spPr>
              <a:solidFill>
                <a:srgbClr val="ff0000"/>
              </a:solidFill>
              <a:ln w="9360">
                <a:solidFill>
                  <a:srgbClr val="f9f9f9"/>
                </a:solidFill>
                <a:round/>
              </a:ln>
            </c:spPr>
          </c:dPt>
          <c:dPt>
            <c:idx val="1"/>
            <c:spPr>
              <a:solidFill>
                <a:srgbClr val="ff6b6b"/>
              </a:solidFill>
              <a:ln w="9360">
                <a:solidFill>
                  <a:srgbClr val="f9f9f9"/>
                </a:solidFill>
                <a:round/>
              </a:ln>
            </c:spPr>
          </c:dPt>
          <c:dPt>
            <c:idx val="2"/>
            <c:spPr>
              <a:solidFill>
                <a:srgbClr val="ffd93d"/>
              </a:solidFill>
              <a:ln w="9360">
                <a:solidFill>
                  <a:srgbClr val="f9f9f9"/>
                </a:solidFill>
                <a:round/>
              </a:ln>
            </c:spPr>
          </c:dPt>
          <c:dPt>
            <c:idx val="3"/>
            <c:spPr>
              <a:solidFill>
                <a:srgbClr val="6bcb77"/>
              </a:solidFill>
              <a:ln w="9360">
                <a:solidFill>
                  <a:srgbClr val="f9f9f9"/>
                </a:solidFill>
                <a:round/>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Dashboard!$A$9:$A$12</c:f>
              <c:strCache>
                <c:ptCount val="4"/>
                <c:pt idx="0">
                  <c:v>Critical</c:v>
                </c:pt>
                <c:pt idx="1">
                  <c:v>High</c:v>
                </c:pt>
                <c:pt idx="2">
                  <c:v>Medium</c:v>
                </c:pt>
                <c:pt idx="3">
                  <c:v>Low</c:v>
                </c:pt>
              </c:strCache>
            </c:strRef>
          </c:cat>
          <c:val>
            <c:numRef>
              <c:f>Dashboard!$B$9:$B$12</c:f>
              <c:numCache>
                <c:formatCode>General</c:formatCode>
                <c:ptCount val="4"/>
                <c:pt idx="0">
                  <c:v>2</c:v>
                </c:pt>
                <c:pt idx="1">
                  <c:v>5</c:v>
                </c:pt>
                <c:pt idx="2">
                  <c:v>7</c:v>
                </c:pt>
                <c:pt idx="3">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Risks by NIST CSF function</a:t>
            </a:r>
          </a:p>
        </c:rich>
      </c:tx>
      <c:overlay val="0"/>
      <c:spPr>
        <a:noFill/>
        <a:ln w="0">
          <a:noFill/>
        </a:ln>
      </c:spPr>
    </c:title>
    <c:autoTitleDeleted val="0"/>
    <c:plotArea>
      <c:barChart>
        <c:barDir val="col"/>
        <c:grouping val="clustered"/>
        <c:varyColors val="0"/>
        <c:ser>
          <c:idx val="0"/>
          <c:order val="0"/>
          <c:tx>
            <c:strRef>
              <c:f>Dashboard!E8</c:f>
              <c:strCache>
                <c:ptCount val="1"/>
                <c:pt idx="0">
                  <c:v>Count</c:v>
                </c:pt>
              </c:strCache>
            </c:strRef>
          </c:tx>
          <c:spPr>
            <a:solidFill>
              <a:srgbClr val="2e75b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Dashboard!$D$9:$D$13</c:f>
              <c:strCache>
                <c:ptCount val="5"/>
                <c:pt idx="0">
                  <c:v>Identify (ID)</c:v>
                </c:pt>
                <c:pt idx="1">
                  <c:v>Protect (PR)</c:v>
                </c:pt>
                <c:pt idx="2">
                  <c:v>Detect (DE)</c:v>
                </c:pt>
                <c:pt idx="3">
                  <c:v>Respond (RS)</c:v>
                </c:pt>
                <c:pt idx="4">
                  <c:v>Recover (RC)</c:v>
                </c:pt>
              </c:strCache>
            </c:strRef>
          </c:cat>
          <c:val>
            <c:numRef>
              <c:f>Dashboard!$E$9:$E$13</c:f>
              <c:numCache>
                <c:formatCode>General</c:formatCode>
                <c:ptCount val="5"/>
                <c:pt idx="0">
                  <c:v>2</c:v>
                </c:pt>
                <c:pt idx="1">
                  <c:v>11</c:v>
                </c:pt>
                <c:pt idx="2">
                  <c:v>1</c:v>
                </c:pt>
                <c:pt idx="3">
                  <c:v>1</c:v>
                </c:pt>
                <c:pt idx="4">
                  <c:v>1</c:v>
                </c:pt>
              </c:numCache>
            </c:numRef>
          </c:val>
        </c:ser>
        <c:gapWidth val="150"/>
        <c:overlap val="0"/>
        <c:axId val="60388641"/>
        <c:axId val="31757524"/>
      </c:barChart>
      <c:catAx>
        <c:axId val="603886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57524"/>
        <c:crosses val="autoZero"/>
        <c:auto val="1"/>
        <c:lblAlgn val="ctr"/>
        <c:lblOffset val="100"/>
        <c:noMultiLvlLbl val="0"/>
      </c:catAx>
      <c:valAx>
        <c:axId val="3175752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3886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10800</xdr:rowOff>
    </xdr:from>
    <xdr:to>
      <xdr:col>5</xdr:col>
      <xdr:colOff>684720</xdr:colOff>
      <xdr:row>42</xdr:row>
      <xdr:rowOff>139680</xdr:rowOff>
    </xdr:to>
    <xdr:graphicFrame>
      <xdr:nvGraphicFramePr>
        <xdr:cNvPr id="0" name="Chart 1"/>
        <xdr:cNvGraphicFramePr/>
      </xdr:nvGraphicFramePr>
      <xdr:xfrm>
        <a:off x="0" y="4000680"/>
        <a:ext cx="57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20</xdr:row>
      <xdr:rowOff>10800</xdr:rowOff>
    </xdr:from>
    <xdr:to>
      <xdr:col>16</xdr:col>
      <xdr:colOff>399240</xdr:colOff>
      <xdr:row>42</xdr:row>
      <xdr:rowOff>139680</xdr:rowOff>
    </xdr:to>
    <xdr:graphicFrame>
      <xdr:nvGraphicFramePr>
        <xdr:cNvPr id="1" name="Chart 2"/>
        <xdr:cNvGraphicFramePr/>
      </xdr:nvGraphicFramePr>
      <xdr:xfrm>
        <a:off x="7894440" y="400068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7" min="7" style="0" width="16"/>
    <col collapsed="false" customWidth="true" hidden="false" outlineLevel="0" max="10" min="8" style="0" width="12"/>
  </cols>
  <sheetData>
    <row r="1" customFormat="false" ht="17.35" hidden="false" customHeight="false" outlineLevel="0" collapsed="false">
      <c r="A1" s="1" t="s">
        <v>0</v>
      </c>
      <c r="B1" s="1"/>
      <c r="C1" s="1"/>
      <c r="D1" s="1"/>
      <c r="E1" s="1"/>
      <c r="F1" s="1"/>
      <c r="G1" s="1"/>
      <c r="H1" s="1"/>
      <c r="I1" s="1"/>
      <c r="J1" s="1"/>
    </row>
    <row r="3" customFormat="false" ht="15" hidden="false" customHeight="false" outlineLevel="0" collapsed="false">
      <c r="A3" s="2" t="s">
        <v>1</v>
      </c>
      <c r="B3" s="2"/>
      <c r="C3" s="2" t="s">
        <v>2</v>
      </c>
      <c r="D3" s="2"/>
      <c r="E3" s="2" t="s">
        <v>3</v>
      </c>
      <c r="F3" s="2"/>
      <c r="G3" s="2" t="s">
        <v>4</v>
      </c>
      <c r="H3" s="2"/>
      <c r="I3" s="2" t="s">
        <v>5</v>
      </c>
      <c r="J3" s="2"/>
    </row>
    <row r="4" customFormat="false" ht="26.8" hidden="false" customHeight="false" outlineLevel="0" collapsed="false">
      <c r="A4" s="3" t="n">
        <f aca="false">COUNTA('Risk Register'!A5:A20)</f>
        <v>16</v>
      </c>
      <c r="B4" s="3"/>
      <c r="C4" s="4" t="n">
        <f aca="false">COUNTIF('Risk Register'!T5:T20,"Critical")</f>
        <v>2</v>
      </c>
      <c r="D4" s="4"/>
      <c r="E4" s="5" t="n">
        <f aca="false">COUNTIF('Risk Register'!T5:T20,"High")</f>
        <v>5</v>
      </c>
      <c r="F4" s="5"/>
      <c r="G4" s="6" t="n">
        <f aca="false">COUNTIF('Risk Register'!T5:T20,"Medium")</f>
        <v>7</v>
      </c>
      <c r="H4" s="6"/>
      <c r="I4" s="7" t="n">
        <f aca="false">COUNTIF('Risk Register'!T5:T20,"Low")</f>
        <v>2</v>
      </c>
      <c r="J4" s="7"/>
    </row>
    <row r="7" customFormat="false" ht="15" hidden="false" customHeight="false" outlineLevel="0" collapsed="false">
      <c r="A7" s="8" t="s">
        <v>6</v>
      </c>
      <c r="D7" s="8" t="s">
        <v>7</v>
      </c>
      <c r="G7" s="8" t="s">
        <v>8</v>
      </c>
    </row>
    <row r="8" customFormat="false" ht="15" hidden="false" customHeight="false" outlineLevel="0" collapsed="false">
      <c r="A8" s="9" t="s">
        <v>9</v>
      </c>
      <c r="B8" s="9" t="s">
        <v>10</v>
      </c>
      <c r="D8" s="9" t="s">
        <v>11</v>
      </c>
      <c r="E8" s="9" t="s">
        <v>10</v>
      </c>
      <c r="G8" s="9" t="s">
        <v>12</v>
      </c>
      <c r="H8" s="9" t="s">
        <v>10</v>
      </c>
    </row>
    <row r="9" customFormat="false" ht="15" hidden="false" customHeight="false" outlineLevel="0" collapsed="false">
      <c r="A9" s="10" t="s">
        <v>13</v>
      </c>
      <c r="B9" s="10" t="n">
        <f aca="false">COUNTIF('Risk Register'!T5:T20,"Critical")</f>
        <v>2</v>
      </c>
      <c r="D9" s="10" t="s">
        <v>14</v>
      </c>
      <c r="E9" s="10" t="n">
        <f aca="false">COUNTIF('Risk Register'!B5:B20,"Identify (ID)")</f>
        <v>2</v>
      </c>
      <c r="G9" s="10" t="s">
        <v>15</v>
      </c>
      <c r="H9" s="10" t="n">
        <f aca="false">COUNTIF('Risk Register'!V5:V20,"Mitigate")</f>
        <v>15</v>
      </c>
    </row>
    <row r="10" customFormat="false" ht="15" hidden="false" customHeight="false" outlineLevel="0" collapsed="false">
      <c r="A10" s="10" t="s">
        <v>16</v>
      </c>
      <c r="B10" s="10" t="n">
        <f aca="false">COUNTIF('Risk Register'!T5:T20,"High")</f>
        <v>5</v>
      </c>
      <c r="D10" s="10" t="s">
        <v>17</v>
      </c>
      <c r="E10" s="10" t="n">
        <f aca="false">COUNTIF('Risk Register'!B5:B20,"Protect (PR)")</f>
        <v>11</v>
      </c>
      <c r="G10" s="10" t="s">
        <v>18</v>
      </c>
      <c r="H10" s="10" t="n">
        <f aca="false">COUNTIF('Risk Register'!V5:V20,"Accept")</f>
        <v>1</v>
      </c>
    </row>
    <row r="11" customFormat="false" ht="15" hidden="false" customHeight="false" outlineLevel="0" collapsed="false">
      <c r="A11" s="10" t="s">
        <v>19</v>
      </c>
      <c r="B11" s="10" t="n">
        <f aca="false">COUNTIF('Risk Register'!T5:T20,"Medium")</f>
        <v>7</v>
      </c>
      <c r="D11" s="10" t="s">
        <v>20</v>
      </c>
      <c r="E11" s="10" t="n">
        <f aca="false">COUNTIF('Risk Register'!B5:B20,"Detect (DE)")</f>
        <v>1</v>
      </c>
      <c r="G11" s="10" t="s">
        <v>21</v>
      </c>
      <c r="H11" s="10" t="n">
        <f aca="false">COUNTIF('Risk Register'!V5:V20,"Transfer")</f>
        <v>0</v>
      </c>
    </row>
    <row r="12" customFormat="false" ht="15" hidden="false" customHeight="false" outlineLevel="0" collapsed="false">
      <c r="A12" s="10" t="s">
        <v>22</v>
      </c>
      <c r="B12" s="10" t="n">
        <f aca="false">COUNTIF('Risk Register'!T5:T20,"Low")</f>
        <v>2</v>
      </c>
      <c r="D12" s="10" t="s">
        <v>23</v>
      </c>
      <c r="E12" s="10" t="n">
        <f aca="false">COUNTIF('Risk Register'!B5:B20,"Respond (RS)")</f>
        <v>1</v>
      </c>
      <c r="G12" s="10" t="s">
        <v>24</v>
      </c>
      <c r="H12" s="10" t="n">
        <f aca="false">COUNTIF('Risk Register'!V5:V20,"Avoid")</f>
        <v>0</v>
      </c>
    </row>
    <row r="13" customFormat="false" ht="15" hidden="false" customHeight="false" outlineLevel="0" collapsed="false">
      <c r="D13" s="10" t="s">
        <v>25</v>
      </c>
      <c r="E13" s="10" t="n">
        <f aca="false">COUNTIF('Risk Register'!B5:B20,"Recover (RC)")</f>
        <v>1</v>
      </c>
    </row>
    <row r="15" customFormat="false" ht="15" hidden="false" customHeight="false" outlineLevel="0" collapsed="false">
      <c r="A15" s="8" t="s">
        <v>26</v>
      </c>
    </row>
    <row r="16" customFormat="false" ht="15" hidden="false" customHeight="false" outlineLevel="0" collapsed="false">
      <c r="A16" s="9" t="s">
        <v>27</v>
      </c>
      <c r="B16" s="9" t="s">
        <v>10</v>
      </c>
      <c r="C16" s="9" t="s">
        <v>28</v>
      </c>
    </row>
    <row r="17" customFormat="false" ht="15" hidden="false" customHeight="false" outlineLevel="0" collapsed="false">
      <c r="A17" s="10" t="s">
        <v>29</v>
      </c>
      <c r="B17" s="10" t="n">
        <f aca="false">COUNTIF('Treatment Plan'!G5:G19,"P1")</f>
        <v>6</v>
      </c>
      <c r="C17" s="10" t="s">
        <v>30</v>
      </c>
    </row>
    <row r="18" customFormat="false" ht="15" hidden="false" customHeight="false" outlineLevel="0" collapsed="false">
      <c r="A18" s="10" t="s">
        <v>31</v>
      </c>
      <c r="B18" s="10" t="n">
        <f aca="false">COUNTIF('Treatment Plan'!G5:G19,"P2")</f>
        <v>7</v>
      </c>
      <c r="C18" s="10" t="s">
        <v>32</v>
      </c>
    </row>
    <row r="19" customFormat="false" ht="15" hidden="false" customHeight="false" outlineLevel="0" collapsed="false">
      <c r="A19" s="10" t="s">
        <v>33</v>
      </c>
      <c r="B19" s="10" t="n">
        <f aca="false">COUNTIF('Treatment Plan'!G5:G19,"P3")</f>
        <v>2</v>
      </c>
      <c r="C19" s="10" t="s">
        <v>34</v>
      </c>
    </row>
    <row r="20" customFormat="false" ht="15" hidden="false" customHeight="false" outlineLevel="0" collapsed="false">
      <c r="A20" s="9" t="s">
        <v>35</v>
      </c>
      <c r="C20" s="9" t="s">
        <v>36</v>
      </c>
    </row>
  </sheetData>
  <mergeCells count="11">
    <mergeCell ref="A1:J1"/>
    <mergeCell ref="A3:B3"/>
    <mergeCell ref="C3:D3"/>
    <mergeCell ref="E3:F3"/>
    <mergeCell ref="G3:H3"/>
    <mergeCell ref="I3:J3"/>
    <mergeCell ref="A4:B4"/>
    <mergeCell ref="C4:D4"/>
    <mergeCell ref="E4:F4"/>
    <mergeCell ref="G4:H4"/>
    <mergeCell ref="I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6" min="3" style="0" width="30"/>
    <col collapsed="false" customWidth="true" hidden="false" outlineLevel="0" max="8" min="7" style="0" width="14"/>
  </cols>
  <sheetData>
    <row r="1" customFormat="false" ht="17.35" hidden="false" customHeight="false" outlineLevel="0" collapsed="false">
      <c r="A1" s="1" t="s">
        <v>37</v>
      </c>
      <c r="B1" s="1"/>
      <c r="C1" s="1"/>
      <c r="D1" s="1"/>
      <c r="E1" s="1"/>
      <c r="F1" s="1"/>
      <c r="G1" s="1"/>
      <c r="H1" s="1"/>
    </row>
    <row r="2" customFormat="false" ht="15" hidden="false" customHeight="false" outlineLevel="0" collapsed="false">
      <c r="A2" s="11" t="s">
        <v>38</v>
      </c>
      <c r="B2" s="11"/>
      <c r="C2" s="11"/>
      <c r="D2" s="11"/>
      <c r="E2" s="11"/>
      <c r="F2" s="11"/>
      <c r="G2" s="11"/>
      <c r="H2" s="11"/>
    </row>
    <row r="4" customFormat="false" ht="15" hidden="false" customHeight="false" outlineLevel="0" collapsed="false">
      <c r="A4" s="12" t="s">
        <v>39</v>
      </c>
      <c r="B4" s="12"/>
      <c r="C4" s="12"/>
      <c r="D4" s="12"/>
      <c r="E4" s="12"/>
      <c r="F4" s="12"/>
      <c r="G4" s="12"/>
      <c r="H4" s="12"/>
    </row>
    <row r="5" customFormat="false" ht="15" hidden="false" customHeight="true" outlineLevel="0" collapsed="false">
      <c r="A5" s="13" t="s">
        <v>40</v>
      </c>
      <c r="B5" s="13"/>
      <c r="C5" s="13"/>
      <c r="D5" s="13"/>
      <c r="E5" s="13"/>
      <c r="F5" s="13"/>
      <c r="G5" s="13"/>
      <c r="H5" s="13"/>
    </row>
    <row r="6" customFormat="false" ht="15" hidden="false" customHeight="false" outlineLevel="0" collapsed="false">
      <c r="A6" s="13"/>
      <c r="B6" s="13"/>
      <c r="C6" s="13"/>
      <c r="D6" s="13"/>
      <c r="E6" s="13"/>
      <c r="F6" s="13"/>
      <c r="G6" s="13"/>
      <c r="H6" s="13"/>
    </row>
    <row r="7" customFormat="false" ht="15" hidden="false" customHeight="false" outlineLevel="0" collapsed="false">
      <c r="A7" s="13"/>
      <c r="B7" s="13"/>
      <c r="C7" s="13"/>
      <c r="D7" s="13"/>
      <c r="E7" s="13"/>
      <c r="F7" s="13"/>
      <c r="G7" s="13"/>
      <c r="H7" s="13"/>
    </row>
    <row r="9" customFormat="false" ht="15" hidden="false" customHeight="false" outlineLevel="0" collapsed="false">
      <c r="A9" s="12" t="s">
        <v>41</v>
      </c>
      <c r="B9" s="12"/>
      <c r="C9" s="12"/>
      <c r="D9" s="12"/>
      <c r="E9" s="12"/>
      <c r="F9" s="12"/>
      <c r="G9" s="12"/>
      <c r="H9" s="12"/>
    </row>
    <row r="10" customFormat="false" ht="15" hidden="false" customHeight="false" outlineLevel="0" collapsed="false">
      <c r="A10" s="14" t="s">
        <v>42</v>
      </c>
      <c r="B10" s="14" t="s">
        <v>9</v>
      </c>
      <c r="C10" s="14" t="s">
        <v>43</v>
      </c>
      <c r="D10" s="14" t="s">
        <v>44</v>
      </c>
    </row>
    <row r="11" customFormat="false" ht="35.05" hidden="false" customHeight="false" outlineLevel="0" collapsed="false">
      <c r="A11" s="15" t="n">
        <v>1</v>
      </c>
      <c r="B11" s="16" t="s">
        <v>45</v>
      </c>
      <c r="C11" s="17" t="s">
        <v>46</v>
      </c>
      <c r="D11" s="17" t="s">
        <v>47</v>
      </c>
    </row>
    <row r="12" customFormat="false" ht="46.25" hidden="false" customHeight="false" outlineLevel="0" collapsed="false">
      <c r="A12" s="18" t="n">
        <v>2</v>
      </c>
      <c r="B12" s="19" t="s">
        <v>22</v>
      </c>
      <c r="C12" s="20" t="s">
        <v>48</v>
      </c>
      <c r="D12" s="20" t="s">
        <v>49</v>
      </c>
    </row>
    <row r="13" customFormat="false" ht="35.05" hidden="false" customHeight="false" outlineLevel="0" collapsed="false">
      <c r="A13" s="15" t="n">
        <v>3</v>
      </c>
      <c r="B13" s="16" t="s">
        <v>50</v>
      </c>
      <c r="C13" s="17" t="s">
        <v>51</v>
      </c>
      <c r="D13" s="17" t="s">
        <v>52</v>
      </c>
    </row>
    <row r="14" customFormat="false" ht="35.05" hidden="false" customHeight="false" outlineLevel="0" collapsed="false">
      <c r="A14" s="18" t="n">
        <v>4</v>
      </c>
      <c r="B14" s="19" t="s">
        <v>16</v>
      </c>
      <c r="C14" s="20" t="s">
        <v>53</v>
      </c>
      <c r="D14" s="20" t="s">
        <v>54</v>
      </c>
    </row>
    <row r="15" customFormat="false" ht="35.05" hidden="false" customHeight="false" outlineLevel="0" collapsed="false">
      <c r="A15" s="15" t="n">
        <v>5</v>
      </c>
      <c r="B15" s="16" t="s">
        <v>55</v>
      </c>
      <c r="C15" s="17" t="s">
        <v>56</v>
      </c>
      <c r="D15" s="17" t="s">
        <v>57</v>
      </c>
    </row>
    <row r="17" customFormat="false" ht="15" hidden="false" customHeight="false" outlineLevel="0" collapsed="false">
      <c r="A17" s="12" t="s">
        <v>58</v>
      </c>
      <c r="B17" s="12"/>
      <c r="C17" s="12"/>
      <c r="D17" s="12"/>
      <c r="E17" s="12"/>
      <c r="F17" s="12"/>
      <c r="G17" s="12"/>
      <c r="H17" s="12"/>
    </row>
    <row r="18" customFormat="false" ht="15" hidden="false" customHeight="false" outlineLevel="0" collapsed="false">
      <c r="A18" s="14" t="s">
        <v>42</v>
      </c>
      <c r="B18" s="14" t="s">
        <v>9</v>
      </c>
      <c r="C18" s="14" t="s">
        <v>59</v>
      </c>
      <c r="D18" s="14" t="s">
        <v>60</v>
      </c>
      <c r="E18" s="14" t="s">
        <v>61</v>
      </c>
      <c r="F18" s="14" t="s">
        <v>62</v>
      </c>
    </row>
    <row r="19" customFormat="false" ht="23.85" hidden="false" customHeight="false" outlineLevel="0" collapsed="false">
      <c r="A19" s="15" t="n">
        <v>1</v>
      </c>
      <c r="B19" s="16" t="s">
        <v>63</v>
      </c>
      <c r="C19" s="17" t="s">
        <v>64</v>
      </c>
      <c r="D19" s="17" t="s">
        <v>65</v>
      </c>
      <c r="E19" s="17" t="s">
        <v>66</v>
      </c>
      <c r="F19" s="17" t="s">
        <v>67</v>
      </c>
    </row>
    <row r="20" customFormat="false" ht="23.85" hidden="false" customHeight="false" outlineLevel="0" collapsed="false">
      <c r="A20" s="18" t="n">
        <v>2</v>
      </c>
      <c r="B20" s="19" t="s">
        <v>68</v>
      </c>
      <c r="C20" s="20" t="s">
        <v>69</v>
      </c>
      <c r="D20" s="20" t="s">
        <v>70</v>
      </c>
      <c r="E20" s="20" t="s">
        <v>71</v>
      </c>
      <c r="F20" s="20" t="s">
        <v>72</v>
      </c>
    </row>
    <row r="21" customFormat="false" ht="23.85" hidden="false" customHeight="false" outlineLevel="0" collapsed="false">
      <c r="A21" s="15" t="n">
        <v>3</v>
      </c>
      <c r="B21" s="16" t="s">
        <v>50</v>
      </c>
      <c r="C21" s="17" t="s">
        <v>73</v>
      </c>
      <c r="D21" s="17" t="s">
        <v>74</v>
      </c>
      <c r="E21" s="17" t="s">
        <v>75</v>
      </c>
      <c r="F21" s="17" t="s">
        <v>76</v>
      </c>
    </row>
    <row r="22" customFormat="false" ht="23.85" hidden="false" customHeight="false" outlineLevel="0" collapsed="false">
      <c r="A22" s="18" t="n">
        <v>4</v>
      </c>
      <c r="B22" s="19" t="s">
        <v>77</v>
      </c>
      <c r="C22" s="20" t="s">
        <v>78</v>
      </c>
      <c r="D22" s="20" t="s">
        <v>79</v>
      </c>
      <c r="E22" s="20" t="s">
        <v>80</v>
      </c>
      <c r="F22" s="20" t="s">
        <v>81</v>
      </c>
    </row>
    <row r="23" customFormat="false" ht="23.85" hidden="false" customHeight="false" outlineLevel="0" collapsed="false">
      <c r="A23" s="15" t="n">
        <v>5</v>
      </c>
      <c r="B23" s="16" t="s">
        <v>82</v>
      </c>
      <c r="C23" s="17" t="s">
        <v>83</v>
      </c>
      <c r="D23" s="17" t="s">
        <v>84</v>
      </c>
      <c r="E23" s="17" t="s">
        <v>85</v>
      </c>
      <c r="F23" s="17" t="s">
        <v>86</v>
      </c>
    </row>
    <row r="25" customFormat="false" ht="15" hidden="false" customHeight="false" outlineLevel="0" collapsed="false">
      <c r="A25" s="12" t="s">
        <v>87</v>
      </c>
      <c r="B25" s="12"/>
      <c r="C25" s="12"/>
      <c r="D25" s="12"/>
      <c r="E25" s="12"/>
      <c r="F25" s="12"/>
      <c r="G25" s="12"/>
      <c r="H25" s="12"/>
    </row>
    <row r="26" customFormat="false" ht="26.85" hidden="false" customHeight="false" outlineLevel="0" collapsed="false">
      <c r="A26" s="14" t="s">
        <v>88</v>
      </c>
      <c r="B26" s="14" t="s">
        <v>89</v>
      </c>
      <c r="C26" s="14" t="s">
        <v>90</v>
      </c>
      <c r="D26" s="14" t="s">
        <v>91</v>
      </c>
    </row>
    <row r="27" customFormat="false" ht="35.05" hidden="false" customHeight="false" outlineLevel="0" collapsed="false">
      <c r="A27" s="15" t="s">
        <v>92</v>
      </c>
      <c r="B27" s="21" t="s">
        <v>13</v>
      </c>
      <c r="C27" s="17" t="s">
        <v>93</v>
      </c>
      <c r="D27" s="17" t="s">
        <v>94</v>
      </c>
    </row>
    <row r="28" customFormat="false" ht="35.05" hidden="false" customHeight="false" outlineLevel="0" collapsed="false">
      <c r="A28" s="15" t="s">
        <v>95</v>
      </c>
      <c r="B28" s="22" t="s">
        <v>16</v>
      </c>
      <c r="C28" s="17" t="s">
        <v>96</v>
      </c>
      <c r="D28" s="17" t="s">
        <v>97</v>
      </c>
    </row>
    <row r="29" customFormat="false" ht="23.85" hidden="false" customHeight="false" outlineLevel="0" collapsed="false">
      <c r="A29" s="15" t="s">
        <v>98</v>
      </c>
      <c r="B29" s="23" t="s">
        <v>19</v>
      </c>
      <c r="C29" s="17" t="s">
        <v>99</v>
      </c>
      <c r="D29" s="17" t="s">
        <v>100</v>
      </c>
    </row>
    <row r="30" customFormat="false" ht="35.05" hidden="false" customHeight="false" outlineLevel="0" collapsed="false">
      <c r="A30" s="15" t="s">
        <v>101</v>
      </c>
      <c r="B30" s="24" t="s">
        <v>22</v>
      </c>
      <c r="C30" s="17" t="s">
        <v>102</v>
      </c>
      <c r="D30" s="17" t="s">
        <v>103</v>
      </c>
    </row>
    <row r="32" customFormat="false" ht="15" hidden="false" customHeight="false" outlineLevel="0" collapsed="false">
      <c r="A32" s="12" t="s">
        <v>104</v>
      </c>
      <c r="B32" s="12"/>
      <c r="C32" s="12"/>
      <c r="D32" s="12"/>
      <c r="E32" s="12"/>
      <c r="F32" s="12"/>
      <c r="G32" s="12"/>
      <c r="H32" s="12"/>
    </row>
    <row r="33" customFormat="false" ht="15" hidden="false" customHeight="true" outlineLevel="0" collapsed="false">
      <c r="A33" s="13" t="s">
        <v>105</v>
      </c>
      <c r="B33" s="13"/>
      <c r="C33" s="13"/>
      <c r="D33" s="13"/>
      <c r="E33" s="13"/>
      <c r="F33" s="13"/>
      <c r="G33" s="13"/>
      <c r="H33" s="13"/>
    </row>
    <row r="34" customFormat="false" ht="15" hidden="false" customHeight="false" outlineLevel="0" collapsed="false">
      <c r="A34" s="13"/>
      <c r="B34" s="13"/>
      <c r="C34" s="13"/>
      <c r="D34" s="13"/>
      <c r="E34" s="13"/>
      <c r="F34" s="13"/>
      <c r="G34" s="13"/>
      <c r="H34" s="13"/>
    </row>
    <row r="35" customFormat="false" ht="15" hidden="false" customHeight="false" outlineLevel="0" collapsed="false">
      <c r="A35" s="13"/>
      <c r="B35" s="13"/>
      <c r="C35" s="13"/>
      <c r="D35" s="13"/>
      <c r="E35" s="13"/>
      <c r="F35" s="13"/>
      <c r="G35" s="13"/>
      <c r="H35" s="13"/>
    </row>
  </sheetData>
  <mergeCells count="9">
    <mergeCell ref="A1:H1"/>
    <mergeCell ref="A2:H2"/>
    <mergeCell ref="A4:H4"/>
    <mergeCell ref="A5:H7"/>
    <mergeCell ref="A9:H9"/>
    <mergeCell ref="A17:H17"/>
    <mergeCell ref="A25:H25"/>
    <mergeCell ref="A32:H32"/>
    <mergeCell ref="A33: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W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16"/>
    <col collapsed="false" customWidth="true" hidden="false" outlineLevel="0" max="4" min="4" style="0" width="24"/>
    <col collapsed="false" customWidth="true" hidden="false" outlineLevel="0" max="5" min="5" style="0" width="45"/>
    <col collapsed="false" customWidth="true" hidden="false" outlineLevel="0" max="6" min="6" style="0" width="16"/>
    <col collapsed="false" customWidth="true" hidden="false" outlineLevel="0" max="7" min="7" style="0" width="20"/>
    <col collapsed="false" customWidth="true" hidden="false" outlineLevel="0" max="8" min="8" style="0" width="30"/>
    <col collapsed="false" customWidth="true" hidden="false" outlineLevel="0" max="9" min="9" style="0" width="20"/>
    <col collapsed="false" customWidth="true" hidden="false" outlineLevel="0" max="10" min="10" style="0" width="14"/>
    <col collapsed="false" customWidth="true" hidden="false" outlineLevel="0" max="11" min="11" style="0" width="12"/>
    <col collapsed="false" customWidth="true" hidden="false" outlineLevel="0" max="12" min="12" style="0" width="10"/>
    <col collapsed="false" customWidth="true" hidden="false" outlineLevel="0" max="13" min="13" style="0" width="14"/>
    <col collapsed="false" customWidth="true" hidden="false" outlineLevel="0" max="14" min="14" style="0" width="12"/>
    <col collapsed="false" customWidth="true" hidden="false" outlineLevel="0" max="15" min="15" style="0" width="40"/>
    <col collapsed="false" customWidth="true" hidden="false" outlineLevel="0" max="16" min="16" style="0" width="16"/>
    <col collapsed="false" customWidth="true" hidden="false" outlineLevel="0" max="17" min="17" style="0" width="14"/>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6"/>
    <col collapsed="false" customWidth="true" hidden="false" outlineLevel="0" max="23" min="22" style="0" width="14"/>
  </cols>
  <sheetData>
    <row r="1" customFormat="false" ht="17.35" hidden="false" customHeight="false" outlineLevel="0" collapsed="false">
      <c r="A1" s="1" t="s">
        <v>106</v>
      </c>
      <c r="B1" s="1"/>
      <c r="C1" s="1"/>
      <c r="D1" s="1"/>
      <c r="E1" s="1"/>
      <c r="F1" s="1"/>
      <c r="G1" s="1"/>
      <c r="H1" s="1"/>
      <c r="I1" s="1"/>
      <c r="J1" s="1"/>
      <c r="K1" s="1"/>
      <c r="L1" s="1"/>
      <c r="M1" s="1"/>
      <c r="N1" s="1"/>
      <c r="O1" s="1"/>
      <c r="P1" s="1"/>
      <c r="Q1" s="1"/>
      <c r="R1" s="1"/>
      <c r="S1" s="1"/>
      <c r="T1" s="1"/>
      <c r="U1" s="1"/>
      <c r="V1" s="1"/>
      <c r="W1" s="1"/>
    </row>
    <row r="2" customFormat="false" ht="15" hidden="false" customHeight="false" outlineLevel="0" collapsed="false">
      <c r="A2" s="25" t="s">
        <v>107</v>
      </c>
      <c r="B2" s="25"/>
      <c r="C2" s="25"/>
      <c r="D2" s="25"/>
      <c r="E2" s="25"/>
      <c r="F2" s="25"/>
      <c r="G2" s="25"/>
      <c r="H2" s="25"/>
      <c r="I2" s="25"/>
      <c r="J2" s="25"/>
      <c r="K2" s="25"/>
      <c r="L2" s="25"/>
      <c r="M2" s="25"/>
      <c r="N2" s="25"/>
      <c r="O2" s="25"/>
      <c r="P2" s="25"/>
      <c r="Q2" s="25"/>
      <c r="R2" s="25"/>
      <c r="S2" s="25"/>
      <c r="T2" s="25"/>
      <c r="U2" s="25"/>
      <c r="V2" s="25"/>
      <c r="W2" s="25"/>
    </row>
    <row r="4" customFormat="false" ht="39.55" hidden="false" customHeight="false" outlineLevel="0" collapsed="false">
      <c r="A4" s="14" t="s">
        <v>108</v>
      </c>
      <c r="B4" s="14" t="s">
        <v>109</v>
      </c>
      <c r="C4" s="14" t="s">
        <v>110</v>
      </c>
      <c r="D4" s="14" t="s">
        <v>111</v>
      </c>
      <c r="E4" s="14" t="s">
        <v>112</v>
      </c>
      <c r="F4" s="14" t="s">
        <v>113</v>
      </c>
      <c r="G4" s="14" t="s">
        <v>114</v>
      </c>
      <c r="H4" s="14" t="s">
        <v>115</v>
      </c>
      <c r="I4" s="14" t="s">
        <v>116</v>
      </c>
      <c r="J4" s="14" t="s">
        <v>117</v>
      </c>
      <c r="K4" s="14" t="s">
        <v>118</v>
      </c>
      <c r="L4" s="14" t="s">
        <v>119</v>
      </c>
      <c r="M4" s="14" t="s">
        <v>120</v>
      </c>
      <c r="N4" s="14" t="s">
        <v>121</v>
      </c>
      <c r="O4" s="14" t="s">
        <v>122</v>
      </c>
      <c r="P4" s="14" t="s">
        <v>123</v>
      </c>
      <c r="Q4" s="14" t="s">
        <v>124</v>
      </c>
      <c r="R4" s="14" t="s">
        <v>125</v>
      </c>
      <c r="S4" s="14" t="s">
        <v>126</v>
      </c>
      <c r="T4" s="14" t="s">
        <v>127</v>
      </c>
      <c r="U4" s="14" t="s">
        <v>103</v>
      </c>
      <c r="V4" s="14" t="s">
        <v>128</v>
      </c>
      <c r="W4" s="14" t="s">
        <v>129</v>
      </c>
    </row>
    <row r="5" customFormat="false" ht="46.25" hidden="false" customHeight="false" outlineLevel="0" collapsed="false">
      <c r="A5" s="26" t="s">
        <v>130</v>
      </c>
      <c r="B5" s="15" t="s">
        <v>17</v>
      </c>
      <c r="C5" s="15" t="s">
        <v>131</v>
      </c>
      <c r="D5" s="17" t="s">
        <v>132</v>
      </c>
      <c r="E5" s="17" t="s">
        <v>133</v>
      </c>
      <c r="F5" s="17" t="s">
        <v>134</v>
      </c>
      <c r="G5" s="17" t="s">
        <v>135</v>
      </c>
      <c r="H5" s="17" t="s">
        <v>136</v>
      </c>
      <c r="I5" s="17" t="s">
        <v>137</v>
      </c>
      <c r="J5" s="15" t="s">
        <v>138</v>
      </c>
      <c r="K5" s="15" t="n">
        <v>4</v>
      </c>
      <c r="L5" s="15" t="n">
        <v>5</v>
      </c>
      <c r="M5" s="15" t="n">
        <f aca="false">K5*L5</f>
        <v>20</v>
      </c>
      <c r="N5" s="15" t="str">
        <f aca="false">IF(M5&gt;=20,"Critical",IF(M5&gt;=12,"High",IF(M5&gt;=6,"Medium","Low")))</f>
        <v>Critical</v>
      </c>
      <c r="O5" s="17" t="s">
        <v>139</v>
      </c>
      <c r="P5" s="15" t="s">
        <v>140</v>
      </c>
      <c r="Q5" s="15" t="n">
        <v>3</v>
      </c>
      <c r="R5" s="15" t="n">
        <v>4</v>
      </c>
      <c r="S5" s="15" t="n">
        <f aca="false">Q5*R5</f>
        <v>12</v>
      </c>
      <c r="T5" s="15" t="str">
        <f aca="false">IF(S5&gt;=20,"Critical",IF(S5&gt;=12,"High",IF(S5&gt;=6,"Medium","Low")))</f>
        <v>High</v>
      </c>
      <c r="U5" s="17" t="s">
        <v>141</v>
      </c>
      <c r="V5" s="15" t="s">
        <v>15</v>
      </c>
      <c r="W5" s="15" t="s">
        <v>142</v>
      </c>
    </row>
    <row r="6" customFormat="false" ht="46.25" hidden="false" customHeight="false" outlineLevel="0" collapsed="false">
      <c r="A6" s="27" t="s">
        <v>143</v>
      </c>
      <c r="B6" s="18" t="s">
        <v>20</v>
      </c>
      <c r="C6" s="18" t="s">
        <v>144</v>
      </c>
      <c r="D6" s="20" t="s">
        <v>145</v>
      </c>
      <c r="E6" s="20" t="s">
        <v>146</v>
      </c>
      <c r="F6" s="20" t="s">
        <v>147</v>
      </c>
      <c r="G6" s="20" t="s">
        <v>148</v>
      </c>
      <c r="H6" s="20" t="s">
        <v>149</v>
      </c>
      <c r="I6" s="20" t="s">
        <v>150</v>
      </c>
      <c r="J6" s="18" t="s">
        <v>151</v>
      </c>
      <c r="K6" s="18" t="n">
        <v>4</v>
      </c>
      <c r="L6" s="18" t="n">
        <v>5</v>
      </c>
      <c r="M6" s="18" t="n">
        <f aca="false">K6*L6</f>
        <v>20</v>
      </c>
      <c r="N6" s="18" t="str">
        <f aca="false">IF(M6&gt;=20,"Critical",IF(M6&gt;=12,"High",IF(M6&gt;=6,"Medium","Low")))</f>
        <v>Critical</v>
      </c>
      <c r="O6" s="20" t="s">
        <v>152</v>
      </c>
      <c r="P6" s="18" t="s">
        <v>140</v>
      </c>
      <c r="Q6" s="18" t="n">
        <v>4</v>
      </c>
      <c r="R6" s="18" t="n">
        <v>5</v>
      </c>
      <c r="S6" s="18" t="n">
        <f aca="false">Q6*R6</f>
        <v>20</v>
      </c>
      <c r="T6" s="18" t="str">
        <f aca="false">IF(S6&gt;=20,"Critical",IF(S6&gt;=12,"High",IF(S6&gt;=6,"Medium","Low")))</f>
        <v>Critical</v>
      </c>
      <c r="U6" s="20" t="s">
        <v>153</v>
      </c>
      <c r="V6" s="18" t="s">
        <v>15</v>
      </c>
      <c r="W6" s="18" t="s">
        <v>154</v>
      </c>
    </row>
    <row r="7" customFormat="false" ht="46.25" hidden="false" customHeight="false" outlineLevel="0" collapsed="false">
      <c r="A7" s="26" t="s">
        <v>155</v>
      </c>
      <c r="B7" s="15" t="s">
        <v>17</v>
      </c>
      <c r="C7" s="15" t="s">
        <v>156</v>
      </c>
      <c r="D7" s="17" t="s">
        <v>157</v>
      </c>
      <c r="E7" s="17" t="s">
        <v>158</v>
      </c>
      <c r="F7" s="17" t="s">
        <v>159</v>
      </c>
      <c r="G7" s="17" t="s">
        <v>160</v>
      </c>
      <c r="H7" s="17" t="s">
        <v>161</v>
      </c>
      <c r="I7" s="17" t="s">
        <v>162</v>
      </c>
      <c r="J7" s="15" t="s">
        <v>163</v>
      </c>
      <c r="K7" s="15" t="n">
        <v>4</v>
      </c>
      <c r="L7" s="15" t="n">
        <v>5</v>
      </c>
      <c r="M7" s="15" t="n">
        <f aca="false">K7*L7</f>
        <v>20</v>
      </c>
      <c r="N7" s="15" t="str">
        <f aca="false">IF(M7&gt;=20,"Critical",IF(M7&gt;=12,"High",IF(M7&gt;=6,"Medium","Low")))</f>
        <v>Critical</v>
      </c>
      <c r="O7" s="17" t="s">
        <v>164</v>
      </c>
      <c r="P7" s="15" t="s">
        <v>140</v>
      </c>
      <c r="Q7" s="15" t="n">
        <v>4</v>
      </c>
      <c r="R7" s="15" t="n">
        <v>5</v>
      </c>
      <c r="S7" s="15" t="n">
        <f aca="false">Q7*R7</f>
        <v>20</v>
      </c>
      <c r="T7" s="15" t="str">
        <f aca="false">IF(S7&gt;=20,"Critical",IF(S7&gt;=12,"High",IF(S7&gt;=6,"Medium","Low")))</f>
        <v>Critical</v>
      </c>
      <c r="U7" s="17" t="s">
        <v>165</v>
      </c>
      <c r="V7" s="15" t="s">
        <v>15</v>
      </c>
      <c r="W7" s="15" t="s">
        <v>166</v>
      </c>
    </row>
    <row r="8" customFormat="false" ht="57.45" hidden="false" customHeight="false" outlineLevel="0" collapsed="false">
      <c r="A8" s="27" t="s">
        <v>167</v>
      </c>
      <c r="B8" s="18" t="s">
        <v>23</v>
      </c>
      <c r="C8" s="18" t="s">
        <v>168</v>
      </c>
      <c r="D8" s="20" t="s">
        <v>169</v>
      </c>
      <c r="E8" s="20" t="s">
        <v>170</v>
      </c>
      <c r="F8" s="20" t="s">
        <v>171</v>
      </c>
      <c r="G8" s="20" t="s">
        <v>172</v>
      </c>
      <c r="H8" s="20" t="s">
        <v>173</v>
      </c>
      <c r="I8" s="20" t="s">
        <v>174</v>
      </c>
      <c r="J8" s="18" t="s">
        <v>175</v>
      </c>
      <c r="K8" s="18" t="n">
        <v>3</v>
      </c>
      <c r="L8" s="18" t="n">
        <v>5</v>
      </c>
      <c r="M8" s="18" t="n">
        <f aca="false">K8*L8</f>
        <v>15</v>
      </c>
      <c r="N8" s="18" t="str">
        <f aca="false">IF(M8&gt;=20,"Critical",IF(M8&gt;=12,"High",IF(M8&gt;=6,"Medium","Low")))</f>
        <v>High</v>
      </c>
      <c r="O8" s="20" t="s">
        <v>176</v>
      </c>
      <c r="P8" s="18" t="s">
        <v>140</v>
      </c>
      <c r="Q8" s="18" t="n">
        <v>3</v>
      </c>
      <c r="R8" s="18" t="n">
        <v>5</v>
      </c>
      <c r="S8" s="18" t="n">
        <f aca="false">Q8*R8</f>
        <v>15</v>
      </c>
      <c r="T8" s="18" t="str">
        <f aca="false">IF(S8&gt;=20,"Critical",IF(S8&gt;=12,"High",IF(S8&gt;=6,"Medium","Low")))</f>
        <v>High</v>
      </c>
      <c r="U8" s="20" t="s">
        <v>177</v>
      </c>
      <c r="V8" s="18" t="s">
        <v>15</v>
      </c>
      <c r="W8" s="18" t="s">
        <v>178</v>
      </c>
    </row>
    <row r="9" customFormat="false" ht="46.25" hidden="false" customHeight="false" outlineLevel="0" collapsed="false">
      <c r="A9" s="26" t="s">
        <v>179</v>
      </c>
      <c r="B9" s="15" t="s">
        <v>17</v>
      </c>
      <c r="C9" s="15" t="s">
        <v>180</v>
      </c>
      <c r="D9" s="17" t="s">
        <v>181</v>
      </c>
      <c r="E9" s="17" t="s">
        <v>182</v>
      </c>
      <c r="F9" s="17" t="s">
        <v>183</v>
      </c>
      <c r="G9" s="17" t="s">
        <v>184</v>
      </c>
      <c r="H9" s="17" t="s">
        <v>185</v>
      </c>
      <c r="I9" s="17" t="s">
        <v>186</v>
      </c>
      <c r="J9" s="15" t="s">
        <v>187</v>
      </c>
      <c r="K9" s="15" t="n">
        <v>4</v>
      </c>
      <c r="L9" s="15" t="n">
        <v>5</v>
      </c>
      <c r="M9" s="15" t="n">
        <f aca="false">K9*L9</f>
        <v>20</v>
      </c>
      <c r="N9" s="15" t="str">
        <f aca="false">IF(M9&gt;=20,"Critical",IF(M9&gt;=12,"High",IF(M9&gt;=6,"Medium","Low")))</f>
        <v>Critical</v>
      </c>
      <c r="O9" s="17" t="s">
        <v>188</v>
      </c>
      <c r="P9" s="15" t="s">
        <v>50</v>
      </c>
      <c r="Q9" s="15" t="n">
        <v>3</v>
      </c>
      <c r="R9" s="15" t="n">
        <v>4</v>
      </c>
      <c r="S9" s="15" t="n">
        <f aca="false">Q9*R9</f>
        <v>12</v>
      </c>
      <c r="T9" s="15" t="str">
        <f aca="false">IF(S9&gt;=20,"Critical",IF(S9&gt;=12,"High",IF(S9&gt;=6,"Medium","Low")))</f>
        <v>High</v>
      </c>
      <c r="U9" s="17" t="s">
        <v>165</v>
      </c>
      <c r="V9" s="15" t="s">
        <v>15</v>
      </c>
      <c r="W9" s="15" t="s">
        <v>189</v>
      </c>
    </row>
    <row r="10" customFormat="false" ht="46.25" hidden="false" customHeight="false" outlineLevel="0" collapsed="false">
      <c r="A10" s="27" t="s">
        <v>190</v>
      </c>
      <c r="B10" s="18" t="s">
        <v>17</v>
      </c>
      <c r="C10" s="18" t="s">
        <v>191</v>
      </c>
      <c r="D10" s="20" t="s">
        <v>192</v>
      </c>
      <c r="E10" s="20" t="s">
        <v>193</v>
      </c>
      <c r="F10" s="20" t="s">
        <v>194</v>
      </c>
      <c r="G10" s="20" t="s">
        <v>195</v>
      </c>
      <c r="H10" s="20" t="s">
        <v>196</v>
      </c>
      <c r="I10" s="20" t="s">
        <v>197</v>
      </c>
      <c r="J10" s="18" t="s">
        <v>151</v>
      </c>
      <c r="K10" s="18" t="n">
        <v>4</v>
      </c>
      <c r="L10" s="18" t="n">
        <v>4</v>
      </c>
      <c r="M10" s="18" t="n">
        <f aca="false">K10*L10</f>
        <v>16</v>
      </c>
      <c r="N10" s="18" t="str">
        <f aca="false">IF(M10&gt;=20,"Critical",IF(M10&gt;=12,"High",IF(M10&gt;=6,"Medium","Low")))</f>
        <v>High</v>
      </c>
      <c r="O10" s="20" t="s">
        <v>198</v>
      </c>
      <c r="P10" s="18" t="s">
        <v>50</v>
      </c>
      <c r="Q10" s="18" t="n">
        <v>3</v>
      </c>
      <c r="R10" s="18" t="n">
        <v>3</v>
      </c>
      <c r="S10" s="18" t="n">
        <f aca="false">Q10*R10</f>
        <v>9</v>
      </c>
      <c r="T10" s="18" t="str">
        <f aca="false">IF(S10&gt;=20,"Critical",IF(S10&gt;=12,"High",IF(S10&gt;=6,"Medium","Low")))</f>
        <v>Medium</v>
      </c>
      <c r="U10" s="20" t="s">
        <v>153</v>
      </c>
      <c r="V10" s="18" t="s">
        <v>15</v>
      </c>
      <c r="W10" s="18" t="s">
        <v>199</v>
      </c>
    </row>
    <row r="11" customFormat="false" ht="46.25" hidden="false" customHeight="false" outlineLevel="0" collapsed="false">
      <c r="A11" s="26" t="s">
        <v>200</v>
      </c>
      <c r="B11" s="15" t="s">
        <v>17</v>
      </c>
      <c r="C11" s="15" t="s">
        <v>201</v>
      </c>
      <c r="D11" s="17" t="s">
        <v>202</v>
      </c>
      <c r="E11" s="17" t="s">
        <v>203</v>
      </c>
      <c r="F11" s="17" t="s">
        <v>204</v>
      </c>
      <c r="G11" s="17" t="s">
        <v>205</v>
      </c>
      <c r="H11" s="17" t="s">
        <v>206</v>
      </c>
      <c r="I11" s="17" t="s">
        <v>207</v>
      </c>
      <c r="J11" s="15" t="s">
        <v>208</v>
      </c>
      <c r="K11" s="15" t="n">
        <v>3</v>
      </c>
      <c r="L11" s="15" t="n">
        <v>4</v>
      </c>
      <c r="M11" s="15" t="n">
        <f aca="false">K11*L11</f>
        <v>12</v>
      </c>
      <c r="N11" s="15" t="str">
        <f aca="false">IF(M11&gt;=20,"Critical",IF(M11&gt;=12,"High",IF(M11&gt;=6,"Medium","Low")))</f>
        <v>High</v>
      </c>
      <c r="O11" s="17" t="s">
        <v>209</v>
      </c>
      <c r="P11" s="15" t="s">
        <v>50</v>
      </c>
      <c r="Q11" s="15" t="n">
        <v>3</v>
      </c>
      <c r="R11" s="15" t="n">
        <v>3</v>
      </c>
      <c r="S11" s="15" t="n">
        <f aca="false">Q11*R11</f>
        <v>9</v>
      </c>
      <c r="T11" s="15" t="str">
        <f aca="false">IF(S11&gt;=20,"Critical",IF(S11&gt;=12,"High",IF(S11&gt;=6,"Medium","Low")))</f>
        <v>Medium</v>
      </c>
      <c r="U11" s="17" t="s">
        <v>210</v>
      </c>
      <c r="V11" s="15" t="s">
        <v>15</v>
      </c>
      <c r="W11" s="15" t="s">
        <v>211</v>
      </c>
    </row>
    <row r="12" customFormat="false" ht="57.45" hidden="false" customHeight="false" outlineLevel="0" collapsed="false">
      <c r="A12" s="27" t="s">
        <v>212</v>
      </c>
      <c r="B12" s="18" t="s">
        <v>17</v>
      </c>
      <c r="C12" s="18" t="s">
        <v>213</v>
      </c>
      <c r="D12" s="20" t="s">
        <v>214</v>
      </c>
      <c r="E12" s="20" t="s">
        <v>215</v>
      </c>
      <c r="F12" s="20" t="s">
        <v>159</v>
      </c>
      <c r="G12" s="20" t="s">
        <v>216</v>
      </c>
      <c r="H12" s="20" t="s">
        <v>217</v>
      </c>
      <c r="I12" s="20" t="s">
        <v>218</v>
      </c>
      <c r="J12" s="18" t="s">
        <v>187</v>
      </c>
      <c r="K12" s="18" t="n">
        <v>4</v>
      </c>
      <c r="L12" s="18" t="n">
        <v>4</v>
      </c>
      <c r="M12" s="18" t="n">
        <f aca="false">K12*L12</f>
        <v>16</v>
      </c>
      <c r="N12" s="18" t="str">
        <f aca="false">IF(M12&gt;=20,"Critical",IF(M12&gt;=12,"High",IF(M12&gt;=6,"Medium","Low")))</f>
        <v>High</v>
      </c>
      <c r="O12" s="20" t="s">
        <v>219</v>
      </c>
      <c r="P12" s="18" t="s">
        <v>50</v>
      </c>
      <c r="Q12" s="18" t="n">
        <v>3</v>
      </c>
      <c r="R12" s="18" t="n">
        <v>3</v>
      </c>
      <c r="S12" s="18" t="n">
        <f aca="false">Q12*R12</f>
        <v>9</v>
      </c>
      <c r="T12" s="18" t="str">
        <f aca="false">IF(S12&gt;=20,"Critical",IF(S12&gt;=12,"High",IF(S12&gt;=6,"Medium","Low")))</f>
        <v>Medium</v>
      </c>
      <c r="U12" s="20" t="s">
        <v>220</v>
      </c>
      <c r="V12" s="18" t="s">
        <v>15</v>
      </c>
      <c r="W12" s="18" t="s">
        <v>221</v>
      </c>
    </row>
    <row r="13" customFormat="false" ht="57.45" hidden="false" customHeight="false" outlineLevel="0" collapsed="false">
      <c r="A13" s="26" t="s">
        <v>222</v>
      </c>
      <c r="B13" s="15" t="s">
        <v>14</v>
      </c>
      <c r="C13" s="15" t="s">
        <v>223</v>
      </c>
      <c r="D13" s="17" t="s">
        <v>224</v>
      </c>
      <c r="E13" s="17" t="s">
        <v>225</v>
      </c>
      <c r="F13" s="17" t="s">
        <v>226</v>
      </c>
      <c r="G13" s="17" t="s">
        <v>227</v>
      </c>
      <c r="H13" s="17" t="s">
        <v>228</v>
      </c>
      <c r="I13" s="17" t="s">
        <v>229</v>
      </c>
      <c r="J13" s="15" t="s">
        <v>230</v>
      </c>
      <c r="K13" s="15" t="n">
        <v>3</v>
      </c>
      <c r="L13" s="15" t="n">
        <v>4</v>
      </c>
      <c r="M13" s="15" t="n">
        <f aca="false">K13*L13</f>
        <v>12</v>
      </c>
      <c r="N13" s="15" t="str">
        <f aca="false">IF(M13&gt;=20,"Critical",IF(M13&gt;=12,"High",IF(M13&gt;=6,"Medium","Low")))</f>
        <v>High</v>
      </c>
      <c r="O13" s="17" t="s">
        <v>231</v>
      </c>
      <c r="P13" s="15" t="s">
        <v>140</v>
      </c>
      <c r="Q13" s="15" t="n">
        <v>3</v>
      </c>
      <c r="R13" s="15" t="n">
        <v>4</v>
      </c>
      <c r="S13" s="15" t="n">
        <f aca="false">Q13*R13</f>
        <v>12</v>
      </c>
      <c r="T13" s="15" t="str">
        <f aca="false">IF(S13&gt;=20,"Critical",IF(S13&gt;=12,"High",IF(S13&gt;=6,"Medium","Low")))</f>
        <v>High</v>
      </c>
      <c r="U13" s="17" t="s">
        <v>153</v>
      </c>
      <c r="V13" s="15" t="s">
        <v>15</v>
      </c>
      <c r="W13" s="15" t="s">
        <v>232</v>
      </c>
    </row>
    <row r="14" customFormat="false" ht="57.45" hidden="false" customHeight="false" outlineLevel="0" collapsed="false">
      <c r="A14" s="27" t="s">
        <v>233</v>
      </c>
      <c r="B14" s="18" t="s">
        <v>17</v>
      </c>
      <c r="C14" s="18" t="s">
        <v>234</v>
      </c>
      <c r="D14" s="20" t="s">
        <v>235</v>
      </c>
      <c r="E14" s="20" t="s">
        <v>236</v>
      </c>
      <c r="F14" s="20" t="s">
        <v>237</v>
      </c>
      <c r="G14" s="20" t="s">
        <v>238</v>
      </c>
      <c r="H14" s="20" t="s">
        <v>239</v>
      </c>
      <c r="I14" s="20" t="s">
        <v>240</v>
      </c>
      <c r="J14" s="18" t="s">
        <v>241</v>
      </c>
      <c r="K14" s="18" t="n">
        <v>4</v>
      </c>
      <c r="L14" s="18" t="n">
        <v>4</v>
      </c>
      <c r="M14" s="18" t="n">
        <f aca="false">K14*L14</f>
        <v>16</v>
      </c>
      <c r="N14" s="18" t="str">
        <f aca="false">IF(M14&gt;=20,"Critical",IF(M14&gt;=12,"High",IF(M14&gt;=6,"Medium","Low")))</f>
        <v>High</v>
      </c>
      <c r="O14" s="20" t="s">
        <v>242</v>
      </c>
      <c r="P14" s="18" t="s">
        <v>140</v>
      </c>
      <c r="Q14" s="18" t="n">
        <v>4</v>
      </c>
      <c r="R14" s="18" t="n">
        <v>4</v>
      </c>
      <c r="S14" s="18" t="n">
        <f aca="false">Q14*R14</f>
        <v>16</v>
      </c>
      <c r="T14" s="18" t="str">
        <f aca="false">IF(S14&gt;=20,"Critical",IF(S14&gt;=12,"High",IF(S14&gt;=6,"Medium","Low")))</f>
        <v>High</v>
      </c>
      <c r="U14" s="20" t="s">
        <v>165</v>
      </c>
      <c r="V14" s="18" t="s">
        <v>15</v>
      </c>
      <c r="W14" s="18" t="s">
        <v>243</v>
      </c>
    </row>
    <row r="15" customFormat="false" ht="57.45" hidden="false" customHeight="false" outlineLevel="0" collapsed="false">
      <c r="A15" s="26" t="s">
        <v>244</v>
      </c>
      <c r="B15" s="15" t="s">
        <v>25</v>
      </c>
      <c r="C15" s="15" t="s">
        <v>245</v>
      </c>
      <c r="D15" s="17" t="s">
        <v>246</v>
      </c>
      <c r="E15" s="17" t="s">
        <v>247</v>
      </c>
      <c r="F15" s="17" t="s">
        <v>248</v>
      </c>
      <c r="G15" s="17" t="s">
        <v>249</v>
      </c>
      <c r="H15" s="17" t="s">
        <v>250</v>
      </c>
      <c r="I15" s="17" t="s">
        <v>251</v>
      </c>
      <c r="J15" s="15" t="s">
        <v>252</v>
      </c>
      <c r="K15" s="15" t="n">
        <v>2</v>
      </c>
      <c r="L15" s="15" t="n">
        <v>4</v>
      </c>
      <c r="M15" s="15" t="n">
        <f aca="false">K15*L15</f>
        <v>8</v>
      </c>
      <c r="N15" s="15" t="str">
        <f aca="false">IF(M15&gt;=20,"Critical",IF(M15&gt;=12,"High",IF(M15&gt;=6,"Medium","Low")))</f>
        <v>Medium</v>
      </c>
      <c r="O15" s="17" t="s">
        <v>253</v>
      </c>
      <c r="P15" s="15" t="s">
        <v>50</v>
      </c>
      <c r="Q15" s="15" t="n">
        <v>2</v>
      </c>
      <c r="R15" s="15" t="n">
        <v>3</v>
      </c>
      <c r="S15" s="15" t="n">
        <f aca="false">Q15*R15</f>
        <v>6</v>
      </c>
      <c r="T15" s="15" t="str">
        <f aca="false">IF(S15&gt;=20,"Critical",IF(S15&gt;=12,"High",IF(S15&gt;=6,"Medium","Low")))</f>
        <v>Medium</v>
      </c>
      <c r="U15" s="17" t="s">
        <v>210</v>
      </c>
      <c r="V15" s="15" t="s">
        <v>15</v>
      </c>
      <c r="W15" s="15" t="s">
        <v>254</v>
      </c>
    </row>
    <row r="16" customFormat="false" ht="57.45" hidden="false" customHeight="false" outlineLevel="0" collapsed="false">
      <c r="A16" s="27" t="s">
        <v>255</v>
      </c>
      <c r="B16" s="18" t="s">
        <v>17</v>
      </c>
      <c r="C16" s="18" t="s">
        <v>256</v>
      </c>
      <c r="D16" s="20" t="s">
        <v>257</v>
      </c>
      <c r="E16" s="20" t="s">
        <v>258</v>
      </c>
      <c r="F16" s="20" t="s">
        <v>259</v>
      </c>
      <c r="G16" s="20" t="s">
        <v>260</v>
      </c>
      <c r="H16" s="20" t="s">
        <v>261</v>
      </c>
      <c r="I16" s="20" t="s">
        <v>262</v>
      </c>
      <c r="J16" s="18" t="s">
        <v>263</v>
      </c>
      <c r="K16" s="18" t="n">
        <v>2</v>
      </c>
      <c r="L16" s="18" t="n">
        <v>3</v>
      </c>
      <c r="M16" s="18" t="n">
        <f aca="false">K16*L16</f>
        <v>6</v>
      </c>
      <c r="N16" s="18" t="str">
        <f aca="false">IF(M16&gt;=20,"Critical",IF(M16&gt;=12,"High",IF(M16&gt;=6,"Medium","Low")))</f>
        <v>Medium</v>
      </c>
      <c r="O16" s="20" t="s">
        <v>264</v>
      </c>
      <c r="P16" s="18" t="s">
        <v>265</v>
      </c>
      <c r="Q16" s="18" t="n">
        <v>1</v>
      </c>
      <c r="R16" s="18" t="n">
        <v>2</v>
      </c>
      <c r="S16" s="18" t="n">
        <f aca="false">Q16*R16</f>
        <v>2</v>
      </c>
      <c r="T16" s="18" t="str">
        <f aca="false">IF(S16&gt;=20,"Critical",IF(S16&gt;=12,"High",IF(S16&gt;=6,"Medium","Low")))</f>
        <v>Low</v>
      </c>
      <c r="U16" s="20" t="s">
        <v>266</v>
      </c>
      <c r="V16" s="18" t="s">
        <v>18</v>
      </c>
      <c r="W16" s="18" t="s">
        <v>267</v>
      </c>
    </row>
    <row r="17" customFormat="false" ht="57.45" hidden="false" customHeight="false" outlineLevel="0" collapsed="false">
      <c r="A17" s="26" t="s">
        <v>268</v>
      </c>
      <c r="B17" s="15" t="s">
        <v>14</v>
      </c>
      <c r="C17" s="15" t="s">
        <v>269</v>
      </c>
      <c r="D17" s="17" t="s">
        <v>270</v>
      </c>
      <c r="E17" s="17" t="s">
        <v>271</v>
      </c>
      <c r="F17" s="17" t="s">
        <v>272</v>
      </c>
      <c r="G17" s="17" t="s">
        <v>273</v>
      </c>
      <c r="H17" s="17" t="s">
        <v>274</v>
      </c>
      <c r="I17" s="17" t="s">
        <v>275</v>
      </c>
      <c r="J17" s="15" t="s">
        <v>163</v>
      </c>
      <c r="K17" s="15" t="n">
        <v>4</v>
      </c>
      <c r="L17" s="15" t="n">
        <v>4</v>
      </c>
      <c r="M17" s="15" t="n">
        <f aca="false">K17*L17</f>
        <v>16</v>
      </c>
      <c r="N17" s="15" t="str">
        <f aca="false">IF(M17&gt;=20,"Critical",IF(M17&gt;=12,"High",IF(M17&gt;=6,"Medium","Low")))</f>
        <v>High</v>
      </c>
      <c r="O17" s="17" t="s">
        <v>276</v>
      </c>
      <c r="P17" s="15" t="s">
        <v>140</v>
      </c>
      <c r="Q17" s="15" t="n">
        <v>3</v>
      </c>
      <c r="R17" s="15" t="n">
        <v>3</v>
      </c>
      <c r="S17" s="15" t="n">
        <f aca="false">Q17*R17</f>
        <v>9</v>
      </c>
      <c r="T17" s="15" t="str">
        <f aca="false">IF(S17&gt;=20,"Critical",IF(S17&gt;=12,"High",IF(S17&gt;=6,"Medium","Low")))</f>
        <v>Medium</v>
      </c>
      <c r="U17" s="17" t="s">
        <v>177</v>
      </c>
      <c r="V17" s="15" t="s">
        <v>15</v>
      </c>
      <c r="W17" s="15" t="s">
        <v>277</v>
      </c>
    </row>
    <row r="18" customFormat="false" ht="46.25" hidden="false" customHeight="false" outlineLevel="0" collapsed="false">
      <c r="A18" s="27" t="s">
        <v>278</v>
      </c>
      <c r="B18" s="18" t="s">
        <v>17</v>
      </c>
      <c r="C18" s="18" t="s">
        <v>279</v>
      </c>
      <c r="D18" s="20" t="s">
        <v>280</v>
      </c>
      <c r="E18" s="20" t="s">
        <v>281</v>
      </c>
      <c r="F18" s="20" t="s">
        <v>282</v>
      </c>
      <c r="G18" s="20" t="s">
        <v>283</v>
      </c>
      <c r="H18" s="20" t="s">
        <v>284</v>
      </c>
      <c r="I18" s="20" t="s">
        <v>285</v>
      </c>
      <c r="J18" s="18" t="s">
        <v>230</v>
      </c>
      <c r="K18" s="18" t="n">
        <v>3</v>
      </c>
      <c r="L18" s="18" t="n">
        <v>4</v>
      </c>
      <c r="M18" s="18" t="n">
        <f aca="false">K18*L18</f>
        <v>12</v>
      </c>
      <c r="N18" s="18" t="str">
        <f aca="false">IF(M18&gt;=20,"Critical",IF(M18&gt;=12,"High",IF(M18&gt;=6,"Medium","Low")))</f>
        <v>High</v>
      </c>
      <c r="O18" s="20" t="s">
        <v>286</v>
      </c>
      <c r="P18" s="18" t="s">
        <v>50</v>
      </c>
      <c r="Q18" s="18" t="n">
        <v>3</v>
      </c>
      <c r="R18" s="18" t="n">
        <v>3</v>
      </c>
      <c r="S18" s="18" t="n">
        <f aca="false">Q18*R18</f>
        <v>9</v>
      </c>
      <c r="T18" s="18" t="str">
        <f aca="false">IF(S18&gt;=20,"Critical",IF(S18&gt;=12,"High",IF(S18&gt;=6,"Medium","Low")))</f>
        <v>Medium</v>
      </c>
      <c r="U18" s="20" t="s">
        <v>153</v>
      </c>
      <c r="V18" s="18" t="s">
        <v>15</v>
      </c>
      <c r="W18" s="18" t="s">
        <v>287</v>
      </c>
    </row>
    <row r="19" customFormat="false" ht="57.45" hidden="false" customHeight="false" outlineLevel="0" collapsed="false">
      <c r="A19" s="26" t="s">
        <v>288</v>
      </c>
      <c r="B19" s="15" t="s">
        <v>17</v>
      </c>
      <c r="C19" s="15" t="s">
        <v>289</v>
      </c>
      <c r="D19" s="17" t="s">
        <v>290</v>
      </c>
      <c r="E19" s="17" t="s">
        <v>291</v>
      </c>
      <c r="F19" s="17" t="s">
        <v>292</v>
      </c>
      <c r="G19" s="17" t="s">
        <v>293</v>
      </c>
      <c r="H19" s="17" t="s">
        <v>294</v>
      </c>
      <c r="I19" s="17" t="s">
        <v>295</v>
      </c>
      <c r="J19" s="15" t="s">
        <v>296</v>
      </c>
      <c r="K19" s="15" t="n">
        <v>3</v>
      </c>
      <c r="L19" s="15" t="n">
        <v>3</v>
      </c>
      <c r="M19" s="15" t="n">
        <f aca="false">K19*L19</f>
        <v>9</v>
      </c>
      <c r="N19" s="15" t="str">
        <f aca="false">IF(M19&gt;=20,"Critical",IF(M19&gt;=12,"High",IF(M19&gt;=6,"Medium","Low")))</f>
        <v>Medium</v>
      </c>
      <c r="O19" s="17" t="s">
        <v>297</v>
      </c>
      <c r="P19" s="15" t="s">
        <v>50</v>
      </c>
      <c r="Q19" s="15" t="n">
        <v>2</v>
      </c>
      <c r="R19" s="15" t="n">
        <v>3</v>
      </c>
      <c r="S19" s="15" t="n">
        <f aca="false">Q19*R19</f>
        <v>6</v>
      </c>
      <c r="T19" s="15" t="str">
        <f aca="false">IF(S19&gt;=20,"Critical",IF(S19&gt;=12,"High",IF(S19&gt;=6,"Medium","Low")))</f>
        <v>Medium</v>
      </c>
      <c r="U19" s="17" t="s">
        <v>165</v>
      </c>
      <c r="V19" s="15" t="s">
        <v>15</v>
      </c>
      <c r="W19" s="15" t="s">
        <v>298</v>
      </c>
    </row>
    <row r="20" customFormat="false" ht="57.45" hidden="false" customHeight="false" outlineLevel="0" collapsed="false">
      <c r="A20" s="27" t="s">
        <v>299</v>
      </c>
      <c r="B20" s="18" t="s">
        <v>17</v>
      </c>
      <c r="C20" s="18" t="s">
        <v>131</v>
      </c>
      <c r="D20" s="20" t="s">
        <v>300</v>
      </c>
      <c r="E20" s="20" t="s">
        <v>301</v>
      </c>
      <c r="F20" s="20" t="s">
        <v>302</v>
      </c>
      <c r="G20" s="20" t="s">
        <v>303</v>
      </c>
      <c r="H20" s="20" t="s">
        <v>304</v>
      </c>
      <c r="I20" s="20" t="s">
        <v>305</v>
      </c>
      <c r="J20" s="18" t="s">
        <v>306</v>
      </c>
      <c r="K20" s="18" t="n">
        <v>3</v>
      </c>
      <c r="L20" s="18" t="n">
        <v>3</v>
      </c>
      <c r="M20" s="18" t="n">
        <f aca="false">K20*L20</f>
        <v>9</v>
      </c>
      <c r="N20" s="18" t="str">
        <f aca="false">IF(M20&gt;=20,"Critical",IF(M20&gt;=12,"High",IF(M20&gt;=6,"Medium","Low")))</f>
        <v>Medium</v>
      </c>
      <c r="O20" s="20" t="s">
        <v>307</v>
      </c>
      <c r="P20" s="18" t="s">
        <v>50</v>
      </c>
      <c r="Q20" s="18" t="n">
        <v>2</v>
      </c>
      <c r="R20" s="18" t="n">
        <v>2</v>
      </c>
      <c r="S20" s="18" t="n">
        <f aca="false">Q20*R20</f>
        <v>4</v>
      </c>
      <c r="T20" s="18" t="str">
        <f aca="false">IF(S20&gt;=20,"Critical",IF(S20&gt;=12,"High",IF(S20&gt;=6,"Medium","Low")))</f>
        <v>Low</v>
      </c>
      <c r="U20" s="20" t="s">
        <v>308</v>
      </c>
      <c r="V20" s="18" t="s">
        <v>15</v>
      </c>
      <c r="W20" s="18" t="s">
        <v>309</v>
      </c>
    </row>
  </sheetData>
  <autoFilter ref="A4:W20"/>
  <mergeCells count="2">
    <mergeCell ref="A1:W1"/>
    <mergeCell ref="A2:W2"/>
  </mergeCells>
  <conditionalFormatting sqref="N5:N20">
    <cfRule type="cellIs" priority="2" operator="equal" aboveAverage="0" equalAverage="0" bottom="0" percent="0" rank="0" text="" dxfId="11">
      <formula>"Critical"</formula>
    </cfRule>
    <cfRule type="cellIs" priority="3" operator="equal" aboveAverage="0" equalAverage="0" bottom="0" percent="0" rank="0" text="" dxfId="12">
      <formula>"High"</formula>
    </cfRule>
    <cfRule type="cellIs" priority="4" operator="equal" aboveAverage="0" equalAverage="0" bottom="0" percent="0" rank="0" text="" dxfId="13">
      <formula>"Medium"</formula>
    </cfRule>
    <cfRule type="cellIs" priority="5" operator="equal" aboveAverage="0" equalAverage="0" bottom="0" percent="0" rank="0" text="" dxfId="14">
      <formula>"Low"</formula>
    </cfRule>
  </conditionalFormatting>
  <conditionalFormatting sqref="T5:T20">
    <cfRule type="cellIs" priority="6" operator="equal" aboveAverage="0" equalAverage="0" bottom="0" percent="0" rank="0" text="" dxfId="11">
      <formula>"Critical"</formula>
    </cfRule>
    <cfRule type="cellIs" priority="7" operator="equal" aboveAverage="0" equalAverage="0" bottom="0" percent="0" rank="0" text="" dxfId="12">
      <formula>"High"</formula>
    </cfRule>
    <cfRule type="cellIs" priority="8" operator="equal" aboveAverage="0" equalAverage="0" bottom="0" percent="0" rank="0" text="" dxfId="13">
      <formula>"Medium"</formula>
    </cfRule>
    <cfRule type="cellIs" priority="9" operator="equal" aboveAverage="0" equalAverage="0" bottom="0" percent="0" rank="0" text="" dxfId="14">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7" min="3" style="0" width="22"/>
  </cols>
  <sheetData>
    <row r="1" customFormat="false" ht="17.35" hidden="false" customHeight="false" outlineLevel="0" collapsed="false">
      <c r="A1" s="1" t="s">
        <v>310</v>
      </c>
      <c r="B1" s="1"/>
      <c r="C1" s="1"/>
      <c r="D1" s="1"/>
      <c r="E1" s="1"/>
      <c r="F1" s="1"/>
      <c r="G1" s="1"/>
      <c r="H1" s="1"/>
    </row>
    <row r="3" customFormat="false" ht="15" hidden="false" customHeight="false" outlineLevel="0" collapsed="false">
      <c r="E3" s="28" t="s">
        <v>311</v>
      </c>
    </row>
    <row r="4" customFormat="false" ht="22.35" hidden="false" customHeight="false" outlineLevel="0" collapsed="false">
      <c r="C4" s="29" t="s">
        <v>312</v>
      </c>
      <c r="D4" s="29" t="s">
        <v>313</v>
      </c>
      <c r="E4" s="29" t="s">
        <v>314</v>
      </c>
      <c r="F4" s="29" t="s">
        <v>315</v>
      </c>
      <c r="G4" s="29" t="s">
        <v>316</v>
      </c>
    </row>
    <row r="5" customFormat="false" ht="51.75" hidden="false" customHeight="true" outlineLevel="0" collapsed="false">
      <c r="A5" s="30" t="s">
        <v>317</v>
      </c>
      <c r="B5" s="31" t="s">
        <v>318</v>
      </c>
      <c r="C5" s="32"/>
      <c r="D5" s="32"/>
      <c r="E5" s="33"/>
      <c r="F5" s="33"/>
      <c r="G5" s="34"/>
    </row>
    <row r="6" customFormat="false" ht="51.75" hidden="false" customHeight="true" outlineLevel="0" collapsed="false">
      <c r="A6" s="30"/>
      <c r="B6" s="31" t="s">
        <v>319</v>
      </c>
      <c r="C6" s="32"/>
      <c r="D6" s="33"/>
      <c r="E6" s="33"/>
      <c r="F6" s="34" t="s">
        <v>320</v>
      </c>
      <c r="G6" s="34" t="s">
        <v>321</v>
      </c>
    </row>
    <row r="7" customFormat="false" ht="51.75" hidden="false" customHeight="true" outlineLevel="0" collapsed="false">
      <c r="A7" s="30"/>
      <c r="B7" s="31" t="s">
        <v>322</v>
      </c>
      <c r="C7" s="33"/>
      <c r="D7" s="33"/>
      <c r="E7" s="34" t="s">
        <v>323</v>
      </c>
      <c r="F7" s="34" t="s">
        <v>324</v>
      </c>
      <c r="G7" s="35" t="s">
        <v>325</v>
      </c>
    </row>
    <row r="8" customFormat="false" ht="51.75" hidden="false" customHeight="true" outlineLevel="0" collapsed="false">
      <c r="A8" s="30"/>
      <c r="B8" s="31" t="s">
        <v>326</v>
      </c>
      <c r="C8" s="33"/>
      <c r="D8" s="34" t="s">
        <v>327</v>
      </c>
      <c r="E8" s="34" t="s">
        <v>328</v>
      </c>
      <c r="F8" s="35"/>
      <c r="G8" s="35"/>
    </row>
    <row r="9" customFormat="false" ht="51.75" hidden="false" customHeight="true" outlineLevel="0" collapsed="false">
      <c r="A9" s="30"/>
      <c r="B9" s="31" t="s">
        <v>329</v>
      </c>
      <c r="C9" s="34"/>
      <c r="D9" s="35" t="s">
        <v>330</v>
      </c>
      <c r="E9" s="35"/>
      <c r="F9" s="35"/>
      <c r="G9" s="35"/>
    </row>
    <row r="12" customFormat="false" ht="15" hidden="false" customHeight="false" outlineLevel="0" collapsed="false">
      <c r="B12" s="8" t="s">
        <v>331</v>
      </c>
    </row>
    <row r="13" customFormat="false" ht="15" hidden="false" customHeight="false" outlineLevel="0" collapsed="false">
      <c r="B13" s="36"/>
      <c r="C13" s="10" t="s">
        <v>332</v>
      </c>
    </row>
    <row r="14" customFormat="false" ht="15" hidden="false" customHeight="false" outlineLevel="0" collapsed="false">
      <c r="B14" s="37"/>
      <c r="C14" s="10" t="s">
        <v>333</v>
      </c>
    </row>
    <row r="15" customFormat="false" ht="15" hidden="false" customHeight="false" outlineLevel="0" collapsed="false">
      <c r="B15" s="38"/>
      <c r="C15" s="10" t="s">
        <v>334</v>
      </c>
    </row>
    <row r="16" customFormat="false" ht="15" hidden="false" customHeight="false" outlineLevel="0" collapsed="false">
      <c r="B16" s="39"/>
      <c r="C16" s="10" t="s">
        <v>335</v>
      </c>
    </row>
  </sheetData>
  <mergeCells count="2">
    <mergeCell ref="A1:H1"/>
    <mergeCell ref="A5:A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8135"/>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4"/>
    <col collapsed="false" customWidth="true" hidden="false" outlineLevel="0" max="4" min="4" style="0" width="42"/>
    <col collapsed="false" customWidth="true" hidden="false" outlineLevel="0" max="5" min="5" style="0" width="35"/>
    <col collapsed="false" customWidth="true" hidden="false" outlineLevel="0" max="6" min="6" style="0" width="16"/>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25"/>
    <col collapsed="false" customWidth="true" hidden="false" outlineLevel="0" max="11" min="11" style="0" width="35"/>
    <col collapsed="false" customWidth="true" hidden="false" outlineLevel="0" max="12" min="12" style="0" width="12"/>
  </cols>
  <sheetData>
    <row r="1" customFormat="false" ht="17.35" hidden="false" customHeight="false" outlineLevel="0" collapsed="false">
      <c r="A1" s="1" t="s">
        <v>336</v>
      </c>
      <c r="B1" s="1"/>
      <c r="C1" s="1"/>
      <c r="D1" s="1"/>
      <c r="E1" s="1"/>
      <c r="F1" s="1"/>
      <c r="G1" s="1"/>
      <c r="H1" s="1"/>
      <c r="I1" s="1"/>
      <c r="J1" s="1"/>
      <c r="K1" s="1"/>
      <c r="L1" s="1"/>
    </row>
    <row r="2" customFormat="false" ht="15" hidden="false" customHeight="false" outlineLevel="0" collapsed="false">
      <c r="A2" s="25" t="s">
        <v>337</v>
      </c>
      <c r="B2" s="25"/>
      <c r="C2" s="25"/>
      <c r="D2" s="25"/>
      <c r="E2" s="25"/>
      <c r="F2" s="25"/>
      <c r="G2" s="25"/>
      <c r="H2" s="25"/>
      <c r="I2" s="25"/>
      <c r="J2" s="25"/>
      <c r="K2" s="25"/>
      <c r="L2" s="25"/>
    </row>
    <row r="4" customFormat="false" ht="26.85" hidden="false" customHeight="false" outlineLevel="0" collapsed="false">
      <c r="A4" s="40" t="s">
        <v>338</v>
      </c>
      <c r="B4" s="40" t="s">
        <v>108</v>
      </c>
      <c r="C4" s="40" t="s">
        <v>128</v>
      </c>
      <c r="D4" s="40" t="s">
        <v>339</v>
      </c>
      <c r="E4" s="40" t="s">
        <v>340</v>
      </c>
      <c r="F4" s="40" t="s">
        <v>341</v>
      </c>
      <c r="G4" s="40" t="s">
        <v>27</v>
      </c>
      <c r="H4" s="40" t="s">
        <v>342</v>
      </c>
      <c r="I4" s="40" t="s">
        <v>343</v>
      </c>
      <c r="J4" s="40" t="s">
        <v>344</v>
      </c>
      <c r="K4" s="40" t="s">
        <v>345</v>
      </c>
      <c r="L4" s="40" t="s">
        <v>346</v>
      </c>
    </row>
    <row r="5" customFormat="false" ht="68.65" hidden="false" customHeight="false" outlineLevel="0" collapsed="false">
      <c r="A5" s="26" t="s">
        <v>142</v>
      </c>
      <c r="B5" s="15" t="s">
        <v>130</v>
      </c>
      <c r="C5" s="15" t="s">
        <v>15</v>
      </c>
      <c r="D5" s="17" t="s">
        <v>347</v>
      </c>
      <c r="E5" s="17" t="s">
        <v>348</v>
      </c>
      <c r="F5" s="15" t="s">
        <v>141</v>
      </c>
      <c r="G5" s="15" t="s">
        <v>349</v>
      </c>
      <c r="H5" s="15" t="s">
        <v>350</v>
      </c>
      <c r="I5" s="17" t="s">
        <v>351</v>
      </c>
      <c r="J5" s="17" t="s">
        <v>352</v>
      </c>
      <c r="K5" s="17" t="s">
        <v>353</v>
      </c>
      <c r="L5" s="15" t="s">
        <v>354</v>
      </c>
    </row>
    <row r="6" customFormat="false" ht="79.85" hidden="false" customHeight="false" outlineLevel="0" collapsed="false">
      <c r="A6" s="27" t="s">
        <v>154</v>
      </c>
      <c r="B6" s="18" t="s">
        <v>143</v>
      </c>
      <c r="C6" s="18" t="s">
        <v>15</v>
      </c>
      <c r="D6" s="20" t="s">
        <v>355</v>
      </c>
      <c r="E6" s="20" t="s">
        <v>356</v>
      </c>
      <c r="F6" s="18" t="s">
        <v>153</v>
      </c>
      <c r="G6" s="18" t="s">
        <v>349</v>
      </c>
      <c r="H6" s="18" t="s">
        <v>357</v>
      </c>
      <c r="I6" s="20" t="s">
        <v>358</v>
      </c>
      <c r="J6" s="20" t="s">
        <v>359</v>
      </c>
      <c r="K6" s="20" t="s">
        <v>360</v>
      </c>
      <c r="L6" s="18" t="s">
        <v>354</v>
      </c>
    </row>
    <row r="7" customFormat="false" ht="79.85" hidden="false" customHeight="false" outlineLevel="0" collapsed="false">
      <c r="A7" s="26" t="s">
        <v>166</v>
      </c>
      <c r="B7" s="15" t="s">
        <v>155</v>
      </c>
      <c r="C7" s="15" t="s">
        <v>15</v>
      </c>
      <c r="D7" s="17" t="s">
        <v>361</v>
      </c>
      <c r="E7" s="17" t="s">
        <v>362</v>
      </c>
      <c r="F7" s="15" t="s">
        <v>165</v>
      </c>
      <c r="G7" s="15" t="s">
        <v>349</v>
      </c>
      <c r="H7" s="15" t="s">
        <v>350</v>
      </c>
      <c r="I7" s="17" t="s">
        <v>363</v>
      </c>
      <c r="J7" s="17" t="s">
        <v>364</v>
      </c>
      <c r="K7" s="17" t="s">
        <v>365</v>
      </c>
      <c r="L7" s="15" t="s">
        <v>354</v>
      </c>
    </row>
    <row r="8" customFormat="false" ht="79.85" hidden="false" customHeight="false" outlineLevel="0" collapsed="false">
      <c r="A8" s="27" t="s">
        <v>178</v>
      </c>
      <c r="B8" s="18" t="s">
        <v>167</v>
      </c>
      <c r="C8" s="18" t="s">
        <v>15</v>
      </c>
      <c r="D8" s="20" t="s">
        <v>366</v>
      </c>
      <c r="E8" s="20" t="s">
        <v>367</v>
      </c>
      <c r="F8" s="18" t="s">
        <v>368</v>
      </c>
      <c r="G8" s="18" t="s">
        <v>349</v>
      </c>
      <c r="H8" s="18" t="s">
        <v>369</v>
      </c>
      <c r="I8" s="20" t="s">
        <v>370</v>
      </c>
      <c r="J8" s="20" t="s">
        <v>371</v>
      </c>
      <c r="K8" s="20" t="s">
        <v>372</v>
      </c>
      <c r="L8" s="18" t="s">
        <v>354</v>
      </c>
    </row>
    <row r="9" customFormat="false" ht="79.85" hidden="false" customHeight="false" outlineLevel="0" collapsed="false">
      <c r="A9" s="26" t="s">
        <v>189</v>
      </c>
      <c r="B9" s="15" t="s">
        <v>179</v>
      </c>
      <c r="C9" s="15" t="s">
        <v>15</v>
      </c>
      <c r="D9" s="17" t="s">
        <v>373</v>
      </c>
      <c r="E9" s="17" t="s">
        <v>374</v>
      </c>
      <c r="F9" s="15" t="s">
        <v>165</v>
      </c>
      <c r="G9" s="15" t="s">
        <v>349</v>
      </c>
      <c r="H9" s="15" t="s">
        <v>350</v>
      </c>
      <c r="I9" s="17" t="s">
        <v>375</v>
      </c>
      <c r="J9" s="17" t="s">
        <v>376</v>
      </c>
      <c r="K9" s="17" t="s">
        <v>377</v>
      </c>
      <c r="L9" s="15" t="s">
        <v>354</v>
      </c>
    </row>
    <row r="10" customFormat="false" ht="102.2" hidden="false" customHeight="false" outlineLevel="0" collapsed="false">
      <c r="A10" s="27" t="s">
        <v>199</v>
      </c>
      <c r="B10" s="18" t="s">
        <v>190</v>
      </c>
      <c r="C10" s="18" t="s">
        <v>15</v>
      </c>
      <c r="D10" s="20" t="s">
        <v>378</v>
      </c>
      <c r="E10" s="20" t="s">
        <v>379</v>
      </c>
      <c r="F10" s="18" t="s">
        <v>380</v>
      </c>
      <c r="G10" s="18" t="s">
        <v>381</v>
      </c>
      <c r="H10" s="18" t="s">
        <v>382</v>
      </c>
      <c r="I10" s="20" t="s">
        <v>383</v>
      </c>
      <c r="J10" s="20" t="s">
        <v>384</v>
      </c>
      <c r="K10" s="20" t="s">
        <v>385</v>
      </c>
      <c r="L10" s="18" t="s">
        <v>354</v>
      </c>
    </row>
    <row r="11" customFormat="false" ht="91" hidden="false" customHeight="false" outlineLevel="0" collapsed="false">
      <c r="A11" s="26" t="s">
        <v>211</v>
      </c>
      <c r="B11" s="15" t="s">
        <v>200</v>
      </c>
      <c r="C11" s="15" t="s">
        <v>15</v>
      </c>
      <c r="D11" s="17" t="s">
        <v>386</v>
      </c>
      <c r="E11" s="17" t="s">
        <v>387</v>
      </c>
      <c r="F11" s="15" t="s">
        <v>210</v>
      </c>
      <c r="G11" s="15" t="s">
        <v>381</v>
      </c>
      <c r="H11" s="15" t="s">
        <v>382</v>
      </c>
      <c r="I11" s="17" t="s">
        <v>388</v>
      </c>
      <c r="J11" s="17" t="s">
        <v>389</v>
      </c>
      <c r="K11" s="17" t="s">
        <v>390</v>
      </c>
      <c r="L11" s="15" t="s">
        <v>354</v>
      </c>
    </row>
    <row r="12" customFormat="false" ht="91" hidden="false" customHeight="false" outlineLevel="0" collapsed="false">
      <c r="A12" s="27" t="s">
        <v>221</v>
      </c>
      <c r="B12" s="18" t="s">
        <v>212</v>
      </c>
      <c r="C12" s="18" t="s">
        <v>15</v>
      </c>
      <c r="D12" s="20" t="s">
        <v>391</v>
      </c>
      <c r="E12" s="20" t="s">
        <v>392</v>
      </c>
      <c r="F12" s="18" t="s">
        <v>220</v>
      </c>
      <c r="G12" s="18" t="s">
        <v>381</v>
      </c>
      <c r="H12" s="18" t="s">
        <v>393</v>
      </c>
      <c r="I12" s="20" t="s">
        <v>394</v>
      </c>
      <c r="J12" s="20" t="s">
        <v>395</v>
      </c>
      <c r="K12" s="20" t="s">
        <v>396</v>
      </c>
      <c r="L12" s="18" t="s">
        <v>354</v>
      </c>
    </row>
    <row r="13" customFormat="false" ht="102.2" hidden="false" customHeight="false" outlineLevel="0" collapsed="false">
      <c r="A13" s="26" t="s">
        <v>232</v>
      </c>
      <c r="B13" s="15" t="s">
        <v>222</v>
      </c>
      <c r="C13" s="15" t="s">
        <v>15</v>
      </c>
      <c r="D13" s="17" t="s">
        <v>397</v>
      </c>
      <c r="E13" s="17" t="s">
        <v>398</v>
      </c>
      <c r="F13" s="15" t="s">
        <v>153</v>
      </c>
      <c r="G13" s="15" t="s">
        <v>381</v>
      </c>
      <c r="H13" s="15" t="s">
        <v>393</v>
      </c>
      <c r="I13" s="17" t="s">
        <v>399</v>
      </c>
      <c r="J13" s="17" t="s">
        <v>400</v>
      </c>
      <c r="K13" s="17" t="s">
        <v>401</v>
      </c>
      <c r="L13" s="15" t="s">
        <v>354</v>
      </c>
    </row>
    <row r="14" customFormat="false" ht="102.2" hidden="false" customHeight="false" outlineLevel="0" collapsed="false">
      <c r="A14" s="27" t="s">
        <v>243</v>
      </c>
      <c r="B14" s="18" t="s">
        <v>233</v>
      </c>
      <c r="C14" s="18" t="s">
        <v>15</v>
      </c>
      <c r="D14" s="20" t="s">
        <v>402</v>
      </c>
      <c r="E14" s="20" t="s">
        <v>403</v>
      </c>
      <c r="F14" s="18" t="s">
        <v>165</v>
      </c>
      <c r="G14" s="18" t="s">
        <v>349</v>
      </c>
      <c r="H14" s="18" t="s">
        <v>357</v>
      </c>
      <c r="I14" s="20" t="s">
        <v>399</v>
      </c>
      <c r="J14" s="20" t="s">
        <v>404</v>
      </c>
      <c r="K14" s="20" t="s">
        <v>405</v>
      </c>
      <c r="L14" s="18" t="s">
        <v>354</v>
      </c>
    </row>
    <row r="15" customFormat="false" ht="68.65" hidden="false" customHeight="false" outlineLevel="0" collapsed="false">
      <c r="A15" s="26" t="s">
        <v>254</v>
      </c>
      <c r="B15" s="15" t="s">
        <v>244</v>
      </c>
      <c r="C15" s="15" t="s">
        <v>15</v>
      </c>
      <c r="D15" s="17" t="s">
        <v>406</v>
      </c>
      <c r="E15" s="17" t="s">
        <v>407</v>
      </c>
      <c r="F15" s="15" t="s">
        <v>210</v>
      </c>
      <c r="G15" s="15" t="s">
        <v>381</v>
      </c>
      <c r="H15" s="15" t="s">
        <v>408</v>
      </c>
      <c r="I15" s="17" t="s">
        <v>409</v>
      </c>
      <c r="J15" s="17" t="s">
        <v>410</v>
      </c>
      <c r="K15" s="17" t="s">
        <v>411</v>
      </c>
      <c r="L15" s="15" t="s">
        <v>354</v>
      </c>
    </row>
    <row r="16" customFormat="false" ht="79.85" hidden="false" customHeight="false" outlineLevel="0" collapsed="false">
      <c r="A16" s="27" t="s">
        <v>277</v>
      </c>
      <c r="B16" s="18" t="s">
        <v>268</v>
      </c>
      <c r="C16" s="18" t="s">
        <v>15</v>
      </c>
      <c r="D16" s="20" t="s">
        <v>412</v>
      </c>
      <c r="E16" s="20" t="s">
        <v>413</v>
      </c>
      <c r="F16" s="18" t="s">
        <v>177</v>
      </c>
      <c r="G16" s="18" t="s">
        <v>381</v>
      </c>
      <c r="H16" s="18" t="s">
        <v>393</v>
      </c>
      <c r="I16" s="20" t="s">
        <v>370</v>
      </c>
      <c r="J16" s="20" t="s">
        <v>414</v>
      </c>
      <c r="K16" s="20" t="s">
        <v>415</v>
      </c>
      <c r="L16" s="18" t="s">
        <v>354</v>
      </c>
    </row>
    <row r="17" customFormat="false" ht="79.85" hidden="false" customHeight="false" outlineLevel="0" collapsed="false">
      <c r="A17" s="26" t="s">
        <v>287</v>
      </c>
      <c r="B17" s="15" t="s">
        <v>278</v>
      </c>
      <c r="C17" s="15" t="s">
        <v>15</v>
      </c>
      <c r="D17" s="17" t="s">
        <v>416</v>
      </c>
      <c r="E17" s="17" t="s">
        <v>417</v>
      </c>
      <c r="F17" s="15" t="s">
        <v>153</v>
      </c>
      <c r="G17" s="15" t="s">
        <v>381</v>
      </c>
      <c r="H17" s="15" t="s">
        <v>393</v>
      </c>
      <c r="I17" s="17" t="s">
        <v>418</v>
      </c>
      <c r="J17" s="17" t="s">
        <v>419</v>
      </c>
      <c r="K17" s="17" t="s">
        <v>420</v>
      </c>
      <c r="L17" s="15" t="s">
        <v>354</v>
      </c>
    </row>
    <row r="18" customFormat="false" ht="79.85" hidden="false" customHeight="false" outlineLevel="0" collapsed="false">
      <c r="A18" s="27" t="s">
        <v>298</v>
      </c>
      <c r="B18" s="18" t="s">
        <v>288</v>
      </c>
      <c r="C18" s="18" t="s">
        <v>15</v>
      </c>
      <c r="D18" s="20" t="s">
        <v>421</v>
      </c>
      <c r="E18" s="20" t="s">
        <v>422</v>
      </c>
      <c r="F18" s="18" t="s">
        <v>165</v>
      </c>
      <c r="G18" s="18" t="s">
        <v>423</v>
      </c>
      <c r="H18" s="18" t="s">
        <v>424</v>
      </c>
      <c r="I18" s="20" t="s">
        <v>425</v>
      </c>
      <c r="J18" s="20" t="s">
        <v>426</v>
      </c>
      <c r="K18" s="20" t="s">
        <v>427</v>
      </c>
      <c r="L18" s="18" t="s">
        <v>354</v>
      </c>
    </row>
    <row r="19" customFormat="false" ht="79.85" hidden="false" customHeight="false" outlineLevel="0" collapsed="false">
      <c r="A19" s="26" t="s">
        <v>309</v>
      </c>
      <c r="B19" s="15" t="s">
        <v>299</v>
      </c>
      <c r="C19" s="15" t="s">
        <v>15</v>
      </c>
      <c r="D19" s="17" t="s">
        <v>428</v>
      </c>
      <c r="E19" s="17" t="s">
        <v>429</v>
      </c>
      <c r="F19" s="15" t="s">
        <v>308</v>
      </c>
      <c r="G19" s="15" t="s">
        <v>423</v>
      </c>
      <c r="H19" s="15" t="s">
        <v>424</v>
      </c>
      <c r="I19" s="17" t="s">
        <v>430</v>
      </c>
      <c r="J19" s="17" t="s">
        <v>431</v>
      </c>
      <c r="K19" s="17" t="s">
        <v>432</v>
      </c>
      <c r="L19" s="15" t="s">
        <v>354</v>
      </c>
    </row>
  </sheetData>
  <autoFilter ref="A4:L19"/>
  <mergeCells count="2">
    <mergeCell ref="A1:L1"/>
    <mergeCell ref="A2:L2"/>
  </mergeCells>
  <conditionalFormatting sqref="G5:G19">
    <cfRule type="cellIs" priority="2" operator="equal" aboveAverage="0" equalAverage="0" bottom="0" percent="0" rank="0" text="" dxfId="12">
      <formula>"P1"</formula>
    </cfRule>
    <cfRule type="cellIs" priority="3" operator="equal" aboveAverage="0" equalAverage="0" bottom="0" percent="0" rank="0" text="" dxfId="13">
      <formula>"P2"</formula>
    </cfRule>
    <cfRule type="cellIs" priority="4" operator="equal" aboveAverage="0" equalAverage="0" bottom="0" percent="0" rank="0" text="" dxfId="14">
      <formula>"P3"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2026-04-29T04:47:31Z</dcterms:created>
  <dc:creator>openpyxl</dc:creator>
  <dc:description/>
  <dc:language>en-US</dc:language>
  <cp:lastModifiedBy/>
  <dcterms:modified xsi:type="dcterms:W3CDTF">2026-04-29T04:47:41Z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