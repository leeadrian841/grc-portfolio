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Methodology" sheetId="3" state="visible" r:id="rId5"/>
    <sheet name="Vendor Inventory" sheetId="4" state="visible" r:id="rId6"/>
    <sheet name="Scoring Matrix" sheetId="5" state="visible" r:id="rId7"/>
  </sheets>
  <definedNames>
    <definedName function="false" hidden="true" localSheetId="3" name="_xlnm._FilterDatabase" vbProcedure="false">'Vendor Inventory'!$A$3:$J$15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<sst xmlns="http://schemas.openxmlformats.org/spreadsheetml/2006/main" count="343" uniqueCount="266">
  <si>
    <t xml:space="preserve">Third-Party Risk Management Framework</t>
  </si>
  <si>
    <t xml:space="preserve">Vendor Tiering, Risk Assessment, and Scoring Matrix</t>
  </si>
  <si>
    <t xml:space="preserve">Organisation:</t>
  </si>
  <si>
    <t xml:space="preserve">PayWave Solutions Pte. Ltd.</t>
  </si>
  <si>
    <t xml:space="preserve">Industry:</t>
  </si>
  <si>
    <t xml:space="preserve">Financial Technology — Digital Payments</t>
  </si>
  <si>
    <t xml:space="preserve">Framework:</t>
  </si>
  <si>
    <t xml:space="preserve">MAS TRM Guidelines Section 9, MAS Guidelines on Outsourcing (Financial Institutions other than Banks), ISO 27001:2022 A.5.19–A.5.22</t>
  </si>
  <si>
    <t xml:space="preserve">Assessment Date:</t>
  </si>
  <si>
    <t xml:space="preserve">15 March 2026</t>
  </si>
  <si>
    <t xml:space="preserve">Assessor:</t>
  </si>
  <si>
    <t xml:space="preserve">[Your Name], GRC Analyst</t>
  </si>
  <si>
    <t xml:space="preserve">Vendors Assessed:</t>
  </si>
  <si>
    <t xml:space="preserve">DataPulse Analytics Pte. Ltd. (Tier 1) and SwiftDesk Solutions (Tier 2)</t>
  </si>
  <si>
    <t xml:space="preserve">Total Vendors in Scope:</t>
  </si>
  <si>
    <t xml:space="preserve">12 active vendors (full inventory in Vendor Inventory sheet)</t>
  </si>
  <si>
    <t xml:space="preserve">Report Version:</t>
  </si>
  <si>
    <t xml:space="preserve">1.0</t>
  </si>
  <si>
    <t xml:space="preserve">Classification:</t>
  </si>
  <si>
    <t xml:space="preserve">CONFIDENTIAL</t>
  </si>
  <si>
    <t xml:space="preserve">This workbook contains a complete TPRM assessment framework including methodology, tiering criteria, vendor inventory, risk questionnaire scoring, and tiering dashboard. DISCLAIMER: This is a fictitious assessment for portfolio demonstration purposes. PayWave Solutions, DataPulse Analytics, and SwiftDesk Solutions are fictional entities.</t>
  </si>
  <si>
    <t xml:space="preserve">TPRM Dashboard — Vendor Tiering and Assessment Summary</t>
  </si>
  <si>
    <t xml:space="preserve">Total Vendors</t>
  </si>
  <si>
    <t xml:space="preserve">Tier 1 Critical</t>
  </si>
  <si>
    <t xml:space="preserve">Tier 2 Important</t>
  </si>
  <si>
    <t xml:space="preserve">Tier 3 Standard</t>
  </si>
  <si>
    <t xml:space="preserve">Tier Distribution</t>
  </si>
  <si>
    <t xml:space="preserve">Annual Spend by Tier (SGD)</t>
  </si>
  <si>
    <t xml:space="preserve">Tier</t>
  </si>
  <si>
    <t xml:space="preserve">Count</t>
  </si>
  <si>
    <t xml:space="preserve">Spend</t>
  </si>
  <si>
    <t xml:space="preserve">Tier 1</t>
  </si>
  <si>
    <t xml:space="preserve">Tier 2</t>
  </si>
  <si>
    <t xml:space="preserve">Tier 3</t>
  </si>
  <si>
    <t xml:space="preserve">Assessment Summary — Q1 2026 Reviews</t>
  </si>
  <si>
    <t xml:space="preserve">Vendor</t>
  </si>
  <si>
    <t xml:space="preserve">Final Score</t>
  </si>
  <si>
    <t xml:space="preserve">Decision</t>
  </si>
  <si>
    <t xml:space="preserve">Risk Owner</t>
  </si>
  <si>
    <t xml:space="preserve">DataPulse Analytics</t>
  </si>
  <si>
    <t xml:space="preserve">CTO</t>
  </si>
  <si>
    <t xml:space="preserve">SwiftDesk Solutions</t>
  </si>
  <si>
    <t xml:space="preserve">Customer Success Lead</t>
  </si>
  <si>
    <t xml:space="preserve">TPRM Methodology — Tiering Criteria and Scoring Approach</t>
  </si>
  <si>
    <t xml:space="preserve">1. Vendor Tiering Criteria</t>
  </si>
  <si>
    <t xml:space="preserve">Vendors are classified into three tiers based on the criticality of the service and the sensitivity of data accessed. Tier classification determines the depth of due diligence required, the scoring weight, and the renewal cadence. Tier 1 vendors require annual on-site or remote security assessments; Tier 2 require annual questionnaire reviews; Tier 3 require contract review only.</t>
  </si>
  <si>
    <t xml:space="preserve">Classification</t>
  </si>
  <si>
    <t xml:space="preserve">Data Access</t>
  </si>
  <si>
    <t xml:space="preserve">Service Criticality</t>
  </si>
  <si>
    <t xml:space="preserve">Assessment Depth</t>
  </si>
  <si>
    <t xml:space="preserve">Review Cadence</t>
  </si>
  <si>
    <t xml:space="preserve">Critical</t>
  </si>
  <si>
    <t xml:space="preserve">Restricted (PII, payment, auth credentials)</t>
  </si>
  <si>
    <t xml:space="preserve">Direct production access OR processes payment data OR core platform dependency</t>
  </si>
  <si>
    <t xml:space="preserve">Full on-site/remote security assessment + SOC 2/ISO 27001 cert review + pentest report review</t>
  </si>
  <si>
    <t xml:space="preserve">Annual</t>
  </si>
  <si>
    <t xml:space="preserve">Important</t>
  </si>
  <si>
    <t xml:space="preserve">Confidential (business data, internal communications)</t>
  </si>
  <si>
    <t xml:space="preserve">Supports business operations; outage causes significant disruption but not service failure</t>
  </si>
  <si>
    <t xml:space="preserve">Vendor risk questionnaire + cert review + contractual security clauses</t>
  </si>
  <si>
    <t xml:space="preserve">Standard</t>
  </si>
  <si>
    <t xml:space="preserve">Internal or Public (general business tools, no sensitive data)</t>
  </si>
  <si>
    <t xml:space="preserve">Productivity tools or non-critical services; outage tolerable</t>
  </si>
  <si>
    <t xml:space="preserve">Contract review with standard security clauses; no questionnaire required</t>
  </si>
  <si>
    <t xml:space="preserve">Bi-annual</t>
  </si>
  <si>
    <t xml:space="preserve">2. Scoring Methodology (per Domain)</t>
  </si>
  <si>
    <t xml:space="preserve">Score</t>
  </si>
  <si>
    <t xml:space="preserve">Rating</t>
  </si>
  <si>
    <t xml:space="preserve">Definition</t>
  </si>
  <si>
    <t xml:space="preserve">Treatment Action</t>
  </si>
  <si>
    <t xml:space="preserve">Excellent</t>
  </si>
  <si>
    <t xml:space="preserve">Comprehensive controls, independently verified (SOC 2 Type II, ISO 27001 cert), continuous monitoring, no findings</t>
  </si>
  <si>
    <t xml:space="preserve">Approve — annual review</t>
  </si>
  <si>
    <t xml:space="preserve">Strong</t>
  </si>
  <si>
    <t xml:space="preserve">Documented controls with evidence; minor gaps with mitigating compensating controls</t>
  </si>
  <si>
    <t xml:space="preserve">Approve — track minor gaps</t>
  </si>
  <si>
    <t xml:space="preserve">Adequate</t>
  </si>
  <si>
    <t xml:space="preserve">Controls present but partially documented or inconsistently applied; moderate gaps</t>
  </si>
  <si>
    <t xml:space="preserve">Approve with conditions — quarterly check-ins</t>
  </si>
  <si>
    <t xml:space="preserve">Weak</t>
  </si>
  <si>
    <t xml:space="preserve">Significant gaps in critical controls; vendor unable to evidence claims; reactive posture</t>
  </si>
  <si>
    <t xml:space="preserve">Conditional approval — gap remediation required within 90 days</t>
  </si>
  <si>
    <t xml:space="preserve">Poor</t>
  </si>
  <si>
    <t xml:space="preserve">Controls absent or fundamentally inadequate; vendor lacks security maturity</t>
  </si>
  <si>
    <t xml:space="preserve">Reject — do not engage; escalate if existing vendor</t>
  </si>
  <si>
    <t xml:space="preserve">3. Domain Weighting (Tier 1 Vendors)</t>
  </si>
  <si>
    <t xml:space="preserve">Risk Domain</t>
  </si>
  <si>
    <t xml:space="preserve">Weight (%)</t>
  </si>
  <si>
    <t xml:space="preserve">Rationale</t>
  </si>
  <si>
    <t xml:space="preserve">Information Security &amp; Data Protection</t>
  </si>
  <si>
    <t xml:space="preserve">Most critical for vendors handling PayWave data — covers encryption, access control, data segregation</t>
  </si>
  <si>
    <t xml:space="preserve">Compliance &amp; Certifications</t>
  </si>
  <si>
    <t xml:space="preserve">Independent third-party validation (SOC 2, ISO 27001, PCI DSS) reduces assessment burden</t>
  </si>
  <si>
    <t xml:space="preserve">Business Continuity &amp; Disaster Recovery</t>
  </si>
  <si>
    <t xml:space="preserve">MAS TRM Section 8 requires demonstrable BCP for critical vendors</t>
  </si>
  <si>
    <t xml:space="preserve">Incident Response &amp; Breach Notification</t>
  </si>
  <si>
    <t xml:space="preserve">PDPA mandates 72-hour breach notification — vendor IR capability is non-negotiable</t>
  </si>
  <si>
    <t xml:space="preserve">Sub-contractor &amp; Supply Chain Management</t>
  </si>
  <si>
    <t xml:space="preserve">Fourth-party risk is increasing — vendors must control their own supply chain</t>
  </si>
  <si>
    <t xml:space="preserve">Governance &amp; Organisation</t>
  </si>
  <si>
    <t xml:space="preserve">Indicates security maturity — dedicated CISO, board oversight, security committee</t>
  </si>
  <si>
    <t xml:space="preserve">Right to Audit &amp; Reporting</t>
  </si>
  <si>
    <t xml:space="preserve">MAS TRM Section 9.5 requires audit rights — non-negotiable contractual requirement</t>
  </si>
  <si>
    <t xml:space="preserve">4. Decision Thresholds (Weighted Average Score)</t>
  </si>
  <si>
    <t xml:space="preserve">Score Range</t>
  </si>
  <si>
    <t xml:space="preserve">Authority</t>
  </si>
  <si>
    <t xml:space="preserve">4.0 – 5.0</t>
  </si>
  <si>
    <t xml:space="preserve">Approve</t>
  </si>
  <si>
    <t xml:space="preserve">CISO — standard contract</t>
  </si>
  <si>
    <t xml:space="preserve">3.0 – 3.9</t>
  </si>
  <si>
    <t xml:space="preserve">Approve with conditions</t>
  </si>
  <si>
    <t xml:space="preserve">CISO + Procurement — conditional clauses required</t>
  </si>
  <si>
    <t xml:space="preserve">2.0 – 2.9</t>
  </si>
  <si>
    <t xml:space="preserve">Conditional / Remediate</t>
  </si>
  <si>
    <t xml:space="preserve">CISO + CRO — 90-day remediation plan; deferred onboarding</t>
  </si>
  <si>
    <t xml:space="preserve">Below 2.0</t>
  </si>
  <si>
    <t xml:space="preserve">Reject</t>
  </si>
  <si>
    <t xml:space="preserve">Mandatory rejection — escalation required to override</t>
  </si>
  <si>
    <t xml:space="preserve">Vendor Inventory — PayWave Solutions Pte. Ltd.</t>
  </si>
  <si>
    <t xml:space="preserve">Vendor ID</t>
  </si>
  <si>
    <t xml:space="preserve">Vendor Name</t>
  </si>
  <si>
    <t xml:space="preserve">Service Provided</t>
  </si>
  <si>
    <t xml:space="preserve">Annual Spend (SGD)</t>
  </si>
  <si>
    <t xml:space="preserve">Contract Renewal</t>
  </si>
  <si>
    <t xml:space="preserve">Cert Status</t>
  </si>
  <si>
    <t xml:space="preserve">Status</t>
  </si>
  <si>
    <t xml:space="preserve">V-001</t>
  </si>
  <si>
    <t xml:space="preserve">DataPulse Analytics Pte. Ltd.</t>
  </si>
  <si>
    <t xml:space="preserve">Real-time fraud detection and transaction analytics platform</t>
  </si>
  <si>
    <t xml:space="preserve">Restricted (payment data, PII)</t>
  </si>
  <si>
    <t xml:space="preserve">Sep 2026</t>
  </si>
  <si>
    <t xml:space="preserve">SOC 2 Type II + ISO 27001</t>
  </si>
  <si>
    <t xml:space="preserve">Under Review</t>
  </si>
  <si>
    <t xml:space="preserve">V-002</t>
  </si>
  <si>
    <t xml:space="preserve">Amazon Web Services (Singapore)</t>
  </si>
  <si>
    <t xml:space="preserve">Cloud infrastructure (compute, storage, networking) hosting all production systems</t>
  </si>
  <si>
    <t xml:space="preserve">Restricted (full platform)</t>
  </si>
  <si>
    <t xml:space="preserve">Mar 2027</t>
  </si>
  <si>
    <t xml:space="preserve">SOC 2 Type II + ISO 27001 + PCI DSS</t>
  </si>
  <si>
    <t xml:space="preserve">DevOps Lead</t>
  </si>
  <si>
    <t xml:space="preserve">Active</t>
  </si>
  <si>
    <t xml:space="preserve">V-003</t>
  </si>
  <si>
    <t xml:space="preserve">Stripe Payment Services</t>
  </si>
  <si>
    <t xml:space="preserve">Payment gateway and card processing for merchant transactions</t>
  </si>
  <si>
    <t xml:space="preserve">Restricted (payment card data)</t>
  </si>
  <si>
    <t xml:space="preserve">Jan 2027</t>
  </si>
  <si>
    <t xml:space="preserve">PCI DSS Level 1 + SOC 2</t>
  </si>
  <si>
    <t xml:space="preserve">V-004</t>
  </si>
  <si>
    <t xml:space="preserve">Okta Identity Cloud</t>
  </si>
  <si>
    <t xml:space="preserve">Single sign-on (SSO) and identity management for all corporate SaaS apps</t>
  </si>
  <si>
    <t xml:space="preserve">Restricted (auth credentials)</t>
  </si>
  <si>
    <t xml:space="preserve">Jul 2026</t>
  </si>
  <si>
    <t xml:space="preserve">SOC 2 Type II + ISO 27001 + FedRAMP</t>
  </si>
  <si>
    <t xml:space="preserve">IT Manager</t>
  </si>
  <si>
    <t xml:space="preserve">V-005</t>
  </si>
  <si>
    <t xml:space="preserve">Customer support ticketing platform with email and chat integration</t>
  </si>
  <si>
    <t xml:space="preserve">Confidential (customer support PII)</t>
  </si>
  <si>
    <t xml:space="preserve">Nov 2026</t>
  </si>
  <si>
    <t xml:space="preserve">SOC 2 Type II</t>
  </si>
  <si>
    <t xml:space="preserve">V-006</t>
  </si>
  <si>
    <t xml:space="preserve">Atlassian (Jira + Confluence)</t>
  </si>
  <si>
    <t xml:space="preserve">Project management and internal documentation platform</t>
  </si>
  <si>
    <t xml:space="preserve">Confidential (internal IP, project data)</t>
  </si>
  <si>
    <t xml:space="preserve">May 2026</t>
  </si>
  <si>
    <t xml:space="preserve">Engineering Lead</t>
  </si>
  <si>
    <t xml:space="preserve">V-007</t>
  </si>
  <si>
    <t xml:space="preserve">GitHub Enterprise</t>
  </si>
  <si>
    <t xml:space="preserve">Source code repository and CI/CD platform</t>
  </si>
  <si>
    <t xml:space="preserve">Restricted (source code)</t>
  </si>
  <si>
    <t xml:space="preserve">Aug 2026</t>
  </si>
  <si>
    <t xml:space="preserve">V-008</t>
  </si>
  <si>
    <t xml:space="preserve">Slack Technologies</t>
  </si>
  <si>
    <t xml:space="preserve">Internal communications and collaboration platform</t>
  </si>
  <si>
    <t xml:space="preserve">Confidential (internal communications)</t>
  </si>
  <si>
    <t xml:space="preserve">Apr 2026</t>
  </si>
  <si>
    <t xml:space="preserve">V-009</t>
  </si>
  <si>
    <t xml:space="preserve">Snyk Security</t>
  </si>
  <si>
    <t xml:space="preserve">Code dependency vulnerability scanning integrated into CI/CD</t>
  </si>
  <si>
    <t xml:space="preserve">Confidential (source code metadata)</t>
  </si>
  <si>
    <t xml:space="preserve">Jun 2026</t>
  </si>
  <si>
    <t xml:space="preserve">V-010</t>
  </si>
  <si>
    <t xml:space="preserve">Microsoft 365</t>
  </si>
  <si>
    <t xml:space="preserve">Email, calendar, document collaboration for corporate users</t>
  </si>
  <si>
    <t xml:space="preserve">Confidential (email, documents)</t>
  </si>
  <si>
    <t xml:space="preserve">Dec 2026</t>
  </si>
  <si>
    <t xml:space="preserve">V-011</t>
  </si>
  <si>
    <t xml:space="preserve">Figma Design</t>
  </si>
  <si>
    <t xml:space="preserve">UX/UI design platform used by product and design team</t>
  </si>
  <si>
    <t xml:space="preserve">Internal (design files)</t>
  </si>
  <si>
    <t xml:space="preserve">Feb 2027</t>
  </si>
  <si>
    <t xml:space="preserve">Design Lead</t>
  </si>
  <si>
    <t xml:space="preserve">V-012</t>
  </si>
  <si>
    <t xml:space="preserve">Calendly Scheduling</t>
  </si>
  <si>
    <t xml:space="preserve">Meeting scheduling tool for sales and customer success</t>
  </si>
  <si>
    <t xml:space="preserve">Internal (calendar metadata)</t>
  </si>
  <si>
    <t xml:space="preserve">Oct 2026</t>
  </si>
  <si>
    <t xml:space="preserve">Sales Ops</t>
  </si>
  <si>
    <t xml:space="preserve">Vendor Risk Scoring Matrix — Side-by-Side Assessment</t>
  </si>
  <si>
    <t xml:space="preserve">Vendor 1: DataPulse Analytics Pte. Ltd. (Tier 1) | Vendor 2: SwiftDesk Solutions (Tier 2)</t>
  </si>
  <si>
    <t xml:space="preserve">Domain</t>
  </si>
  <si>
    <t xml:space="preserve">Weight %</t>
  </si>
  <si>
    <t xml:space="preserve">Question / Control Area</t>
  </si>
  <si>
    <t xml:space="preserve">DataPulse Score (1-5)</t>
  </si>
  <si>
    <t xml:space="preserve">DataPulse Evidence</t>
  </si>
  <si>
    <t xml:space="preserve">SwiftDesk Score (1-5)</t>
  </si>
  <si>
    <t xml:space="preserve">SwiftDesk Evidence</t>
  </si>
  <si>
    <t xml:space="preserve">Are all data in transit and at rest encrypted using industry-standard algorithms (AES-256, TLS 1.2+)?</t>
  </si>
  <si>
    <t xml:space="preserve">AES-256-GCM at rest in AWS RDS; TLS 1.3 for all API endpoints; verified via SOC 2 Type II report Section 4.2</t>
  </si>
  <si>
    <t xml:space="preserve">AES-256 at rest; TLS 1.2 for API; SOC 2 confirms encryption but no TLS 1.3 enforcement yet</t>
  </si>
  <si>
    <t xml:space="preserve">Is access to PayWave data segregated from other clients (logical or physical)?</t>
  </si>
  <si>
    <t xml:space="preserve">Multi-tenant SaaS with dedicated database schema per client + row-level security; pen-tested annually</t>
  </si>
  <si>
    <t xml:space="preserve">Multi-tenant with logical separation only; no row-level security; reliance on application-layer access control</t>
  </si>
  <si>
    <t xml:space="preserve">Is privileged access to PayWave data restricted, monitored, and logged?</t>
  </si>
  <si>
    <t xml:space="preserve">PAM solution (CyberArk) deployed; just-in-time access; all sessions recorded; quarterly access reviews</t>
  </si>
  <si>
    <t xml:space="preserve">Role-based access for support staff; access logged but no PAM solution; access reviews bi-annual</t>
  </si>
  <si>
    <t xml:space="preserve">Is endpoint security (EDR, MDM) deployed on all devices accessing PayWave data?</t>
  </si>
  <si>
    <t xml:space="preserve">CrowdStrike Falcon EDR on 100% of endpoints; Jamf MDM for Mac fleet; DLP rules for PII patterns</t>
  </si>
  <si>
    <t xml:space="preserve">Microsoft Defender ATP on all endpoints; MDM deployed; no DLP agent for content inspection</t>
  </si>
  <si>
    <t xml:space="preserve">Does the vendor hold current SOC 2 Type II report from a reputable auditor?</t>
  </si>
  <si>
    <t xml:space="preserve">SOC 2 Type II — Big 4 auditor (Deloitte); report dated Jan 2026; no qualifications</t>
  </si>
  <si>
    <t xml:space="preserve">SOC 2 Type II — KPMG; report dated Aug 2025; one observation on training records, remediated</t>
  </si>
  <si>
    <t xml:space="preserve">Does the vendor hold ISO 27001:2022 certification (or equivalent)?</t>
  </si>
  <si>
    <t xml:space="preserve">ISO 27001:2022 certified by BSI; current cert valid until Mar 2027</t>
  </si>
  <si>
    <t xml:space="preserve">Not ISO 27001 certified; references SOC 2 only; states 'in process' but no formal timeline</t>
  </si>
  <si>
    <t xml:space="preserve">Is the vendor PCI DSS compliant (where applicable)?</t>
  </si>
  <si>
    <t xml:space="preserve">Not in scope — does not store/process card data directly; processes hashed transaction metadata only</t>
  </si>
  <si>
    <t xml:space="preserve">N/A — vendor does not handle payment card data</t>
  </si>
  <si>
    <t xml:space="preserve">Business Continuity &amp; DR</t>
  </si>
  <si>
    <t xml:space="preserve">Has the vendor documented a BCP with tested RTO and RPO targets?</t>
  </si>
  <si>
    <t xml:space="preserve">BCP tested annually; RTO 4 hours, RPO 1 hour; multi-region active-active deployment in AWS Singapore + Tokyo</t>
  </si>
  <si>
    <t xml:space="preserve">BCP exists; RTO 24 hours, RPO 4 hours; single-region with daily backups; tested annually but no failover</t>
  </si>
  <si>
    <t xml:space="preserve">Does the vendor conduct annual DR testing with documented results?</t>
  </si>
  <si>
    <t xml:space="preserve">Quarterly DR drills with full failover; annual full-region failure simulation; reports shared with clients</t>
  </si>
  <si>
    <t xml:space="preserve">Annual DR test of backup restoration; no production failover test; results internal only</t>
  </si>
  <si>
    <t xml:space="preserve">Will the vendor notify PayWave within 24 hours of a confirmed security incident affecting our data?</t>
  </si>
  <si>
    <t xml:space="preserve">Contractual 24-hour notification clause; dedicated client incident portal; named CSIRT contact</t>
  </si>
  <si>
    <t xml:space="preserve">Contractual 72-hour notification (PDPA minimum); standard support email channel; no dedicated client incident process</t>
  </si>
  <si>
    <t xml:space="preserve">Has the vendor experienced any reportable security incidents in the last 24 months?</t>
  </si>
  <si>
    <t xml:space="preserve">No reportable incidents disclosed; transparent disclosure policy stated in contract</t>
  </si>
  <si>
    <t xml:space="preserve">One incident in 2024 — phishing-related credential compromise; remediation evidenced; no PayWave data affected</t>
  </si>
  <si>
    <t xml:space="preserve">Sub-contractor &amp; Supply Chain</t>
  </si>
  <si>
    <t xml:space="preserve">Does the vendor maintain a current sub-contractor inventory and apply equivalent security requirements?</t>
  </si>
  <si>
    <t xml:space="preserve">Sub-contractor inventory shared; tier-1 sub-contractors (AWS, Datadog, Snowflake) all SOC 2 Type II</t>
  </si>
  <si>
    <t xml:space="preserve">Sub-contractor list provided on request; no public attestation of sub-contractor security requirements</t>
  </si>
  <si>
    <t xml:space="preserve">Are sub-contractor changes notified to PayWave with right to object?</t>
  </si>
  <si>
    <t xml:space="preserve">30-day prior notice contractually required; right to object documented in MSA</t>
  </si>
  <si>
    <t xml:space="preserve">Sub-contractor changes notified retroactively; no right to object in current MSA template</t>
  </si>
  <si>
    <t xml:space="preserve">Does the vendor have a dedicated CISO with board-level reporting?</t>
  </si>
  <si>
    <t xml:space="preserve">CISO reports directly to CEO and quarterly to Board Risk Committee; named individual disclosed</t>
  </si>
  <si>
    <t xml:space="preserve">Head of Security reports to CTO; quarterly security updates to leadership team; no formal board reporting</t>
  </si>
  <si>
    <t xml:space="preserve">Is security awareness training mandatory for all vendor staff with access to client data?</t>
  </si>
  <si>
    <t xml:space="preserve">Mandatory annual training + role-based training for engineers; phishing simulation monthly; metrics shared</t>
  </si>
  <si>
    <t xml:space="preserve">Annual training mandatory; phishing simulation quarterly; metrics shared on request</t>
  </si>
  <si>
    <t xml:space="preserve">Does the contract include right-to-audit clauses (on-site or remote)?</t>
  </si>
  <si>
    <t xml:space="preserve">Right to audit (90-day notice) + right to engage independent auditor at PayWave's cost; SOC 2 report sufficient for most needs</t>
  </si>
  <si>
    <t xml:space="preserve">Right to receive SOC 2 report annually; no on-site audit right; no third-party auditor engagement clause</t>
  </si>
  <si>
    <t xml:space="preserve">Does the vendor provide regular security metrics reporting (uptime, incidents, vulnerabilities)?</t>
  </si>
  <si>
    <t xml:space="preserve">Monthly client report: uptime SLA, security incidents, patch status, audit findings; via dedicated client portal</t>
  </si>
  <si>
    <t xml:space="preserve">Quarterly summary email; uptime SLA only; no detailed security metrics provided</t>
  </si>
  <si>
    <t xml:space="preserve">DOMAIN SUMMARY (Average score per domain)</t>
  </si>
  <si>
    <t xml:space="preserve">DataPulse Avg</t>
  </si>
  <si>
    <t xml:space="preserve">DataPulse Weighted</t>
  </si>
  <si>
    <t xml:space="preserve">SwiftDesk Avg</t>
  </si>
  <si>
    <t xml:space="preserve">SwiftDesk Weighted</t>
  </si>
  <si>
    <t xml:space="preserve">FINAL WEIGHTED SCORE</t>
  </si>
  <si>
    <t xml:space="preserve">DECISION</t>
  </si>
</sst>
</file>

<file path=xl/styles.xml><?xml version="1.0" encoding="utf-8"?>
<styleSheet xmlns="http://schemas.openxmlformats.org/spreadsheetml/2006/main">
  <numFmts count="4">
    <numFmt numFmtId="164" formatCode="General"/>
    <numFmt numFmtId="165" formatCode="General"/>
    <numFmt numFmtId="166" formatCode="\$#,##0"/>
    <numFmt numFmtId="167" formatCode="0.00"/>
  </numFmts>
  <fonts count="22">
    <font>
      <sz val="11"/>
      <color theme="1"/>
      <name val="Calibri"/>
      <family val="2"/>
      <charset val="1"/>
    </font>
    <font>
      <sz val="10"/>
      <name val="Arial"/>
      <family val="0"/>
    </font>
    <font>
      <sz val="10"/>
      <name val="Arial"/>
      <family val="0"/>
    </font>
    <font>
      <sz val="10"/>
      <name val="Arial"/>
      <family val="0"/>
    </font>
    <font>
      <b val="true"/>
      <sz val="22"/>
      <color rgb="FF1F3864"/>
      <name val="Arial"/>
      <family val="0"/>
      <charset val="1"/>
    </font>
    <font>
      <sz val="14"/>
      <color rgb="FF2E75B6"/>
      <name val="Arial"/>
      <family val="0"/>
      <charset val="1"/>
    </font>
    <font>
      <b val="true"/>
      <sz val="10"/>
      <name val="Arial"/>
      <family val="0"/>
      <charset val="1"/>
    </font>
    <font>
      <sz val="10"/>
      <name val="Arial"/>
      <family val="0"/>
      <charset val="1"/>
    </font>
    <font>
      <i val="true"/>
      <sz val="9"/>
      <color rgb="FF666666"/>
      <name val="Arial"/>
      <family val="0"/>
      <charset val="1"/>
    </font>
    <font>
      <b val="true"/>
      <sz val="14"/>
      <color rgb="FF1F3864"/>
      <name val="Arial"/>
      <family val="0"/>
      <charset val="1"/>
    </font>
    <font>
      <sz val="9"/>
      <color rgb="FF666666"/>
      <name val="Arial"/>
      <family val="0"/>
      <charset val="1"/>
    </font>
    <font>
      <b val="true"/>
      <sz val="22"/>
      <color rgb="FF2E75B6"/>
      <name val="Arial"/>
      <family val="0"/>
      <charset val="1"/>
    </font>
    <font>
      <b val="true"/>
      <sz val="22"/>
      <color rgb="FFC00000"/>
      <name val="Arial"/>
      <family val="0"/>
      <charset val="1"/>
    </font>
    <font>
      <b val="true"/>
      <sz val="22"/>
      <color rgb="FFBF8F00"/>
      <name val="Arial"/>
      <family val="0"/>
      <charset val="1"/>
    </font>
    <font>
      <b val="true"/>
      <sz val="22"/>
      <color rgb="FF538135"/>
      <name val="Arial"/>
      <family val="0"/>
      <charset val="1"/>
    </font>
    <font>
      <b val="true"/>
      <sz val="11"/>
      <color rgb="FF1F3864"/>
      <name val="Arial"/>
      <family val="0"/>
      <charset val="1"/>
    </font>
    <font>
      <b val="true"/>
      <sz val="18"/>
      <color rgb="FF000000"/>
      <name val="Calibri"/>
      <family val="2"/>
    </font>
    <font>
      <sz val="10"/>
      <color rgb="FF000000"/>
      <name val="Calibri"/>
      <family val="2"/>
    </font>
    <font>
      <b val="true"/>
      <sz val="11"/>
      <color rgb="FFFFFFFF"/>
      <name val="Arial"/>
      <family val="0"/>
      <charset val="1"/>
    </font>
    <font>
      <b val="true"/>
      <sz val="10"/>
      <color rgb="FFFFFFFF"/>
      <name val="Arial"/>
      <family val="0"/>
      <charset val="1"/>
    </font>
    <font>
      <b val="true"/>
      <sz val="10"/>
      <color rgb="FF000000"/>
      <name val="Arial"/>
      <family val="0"/>
      <charset val="1"/>
    </font>
    <font>
      <i val="true"/>
      <sz val="10"/>
      <color rgb="FF666666"/>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6B6B"/>
        <bgColor rgb="FFFF6600"/>
      </patternFill>
    </fill>
    <fill>
      <patternFill patternType="solid">
        <fgColor rgb="FFFFD93D"/>
        <bgColor rgb="FFFFEB9C"/>
      </patternFill>
    </fill>
    <fill>
      <patternFill patternType="solid">
        <fgColor rgb="FF6BCB77"/>
        <bgColor rgb="FF99CC00"/>
      </patternFill>
    </fill>
    <fill>
      <patternFill patternType="solid">
        <fgColor rgb="FFF2F2F2"/>
        <bgColor rgb="FFF9F9F9"/>
      </patternFill>
    </fill>
    <fill>
      <patternFill patternType="solid">
        <fgColor rgb="FF2E75B6"/>
        <bgColor rgb="FF4F81BD"/>
      </patternFill>
    </fill>
    <fill>
      <patternFill patternType="solid">
        <fgColor rgb="FFD5E8F0"/>
        <bgColor rgb="FFD9D9D9"/>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5" fontId="11" fillId="0" borderId="0" xfId="0" applyFont="true" applyBorder="true" applyAlignment="true" applyProtection="false">
      <alignment horizontal="center" vertical="bottom" textRotation="0" wrapText="false" indent="0" shrinkToFit="false"/>
      <protection locked="true" hidden="false"/>
    </xf>
    <xf numFmtId="165" fontId="12" fillId="0" borderId="0" xfId="0" applyFont="true" applyBorder="true" applyAlignment="true" applyProtection="false">
      <alignment horizontal="center" vertical="bottom" textRotation="0" wrapText="false" indent="0" shrinkToFit="false"/>
      <protection locked="true" hidden="false"/>
    </xf>
    <xf numFmtId="165" fontId="13" fillId="0" borderId="0" xfId="0" applyFont="true" applyBorder="true" applyAlignment="true" applyProtection="false">
      <alignment horizontal="center" vertical="bottom" textRotation="0" wrapText="false" indent="0" shrinkToFit="false"/>
      <protection locked="true" hidden="false"/>
    </xf>
    <xf numFmtId="165" fontId="14"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6" fontId="7" fillId="6" borderId="1"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18" fillId="2" borderId="1" xfId="0" applyFont="true" applyBorder="true" applyAlignment="true" applyProtection="false">
      <alignment horizontal="left" vertical="center" textRotation="0" wrapText="false" indent="0" shrinkToFit="false"/>
      <protection locked="true" hidden="false"/>
    </xf>
    <xf numFmtId="167" fontId="18"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b val="1"/>
        <color rgb="FF006100"/>
      </font>
      <fill>
        <patternFill>
          <bgColor rgb="FFC6EFCE"/>
        </patternFill>
      </fill>
    </dxf>
    <dxf>
      <font>
        <b val="1"/>
        <color rgb="FF9C6500"/>
      </font>
      <fill>
        <patternFill>
          <bgColor rgb="FFFFEB9C"/>
        </patternFill>
      </fill>
    </dxf>
    <dxf>
      <font>
        <b val="1"/>
        <color rgb="FF9C0006"/>
      </font>
      <fill>
        <patternFill>
          <bgColor rgb="FFFFC7CE"/>
        </patternFill>
      </fill>
    </dxf>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6BCB77"/>
          <bgColor rgb="FF000000"/>
        </patternFill>
      </fill>
    </dxf>
    <dxf>
      <fill>
        <patternFill patternType="solid">
          <fgColor rgb="FFFF6B6B"/>
          <bgColor rgb="FF000000"/>
        </patternFill>
      </fill>
    </dxf>
    <dxf>
      <fill>
        <patternFill patternType="solid">
          <fgColor rgb="FFFFD93D"/>
          <bgColor rgb="FF000000"/>
        </patternFill>
      </fill>
    </dxf>
    <dxf>
      <fill>
        <patternFill patternType="solid">
          <fgColor rgb="FF000000"/>
          <bgColor rgb="FF000000"/>
        </patternFill>
      </fill>
    </dxf>
    <dxf>
      <font>
        <b val="1"/>
        <color rgb="FFFFFFFF"/>
      </font>
      <fill>
        <patternFill>
          <bgColor rgb="FFFF6B6B"/>
        </patternFill>
      </fill>
    </dxf>
    <dxf>
      <font>
        <b val="1"/>
        <color rgb="FF000000"/>
      </font>
      <fill>
        <patternFill>
          <bgColor rgb="FFFFD93D"/>
        </patternFill>
      </fill>
    </dxf>
    <dxf>
      <font>
        <b val="1"/>
        <color rgb="FF000000"/>
      </font>
      <fill>
        <patternFill>
          <bgColor rgb="FF6BCB77"/>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CCCCCC"/>
      <rgbColor rgb="FF878787"/>
      <rgbColor rgb="FF9999FF"/>
      <rgbColor rgb="FF7030A0"/>
      <rgbColor rgb="FFF9F9F9"/>
      <rgbColor rgb="FFD5E8F0"/>
      <rgbColor rgb="FF660066"/>
      <rgbColor rgb="FFFF6B6B"/>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2E75B6"/>
      <rgbColor rgb="FF6BCB77"/>
      <rgbColor rgb="FF99CC00"/>
      <rgbColor rgb="FFFFD93D"/>
      <rgbColor rgb="FFBF8F00"/>
      <rgbColor rgb="FFFF6600"/>
      <rgbColor rgb="FF666666"/>
      <rgbColor rgb="FF4F81BD"/>
      <rgbColor rgb="FF1F3864"/>
      <rgbColor rgb="FF53813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Vendor tier distribution</a:t>
            </a:r>
          </a:p>
        </c:rich>
      </c:tx>
      <c:overlay val="0"/>
      <c:spPr>
        <a:noFill/>
        <a:ln w="0">
          <a:noFill/>
        </a:ln>
      </c:spPr>
    </c:title>
    <c:autoTitleDeleted val="0"/>
    <c:plotArea>
      <c:pieChart>
        <c:varyColors val="1"/>
        <c:ser>
          <c:idx val="0"/>
          <c:order val="0"/>
          <c:tx>
            <c:strRef>
              <c:f>Dashboard!B8</c:f>
              <c:strCache>
                <c:ptCount val="1"/>
                <c:pt idx="0">
                  <c:v>Count</c:v>
                </c:pt>
              </c:strCache>
            </c:strRef>
          </c:tx>
          <c:spPr>
            <a:solidFill>
              <a:srgbClr val="4f81bd"/>
            </a:solidFill>
            <a:ln w="9360">
              <a:solidFill>
                <a:srgbClr val="f9f9f9"/>
              </a:solidFill>
              <a:round/>
            </a:ln>
          </c:spPr>
          <c:explosion val="0"/>
          <c:dPt>
            <c:idx val="0"/>
            <c:spPr>
              <a:solidFill>
                <a:srgbClr val="ff6b6b"/>
              </a:solidFill>
              <a:ln w="9360">
                <a:solidFill>
                  <a:srgbClr val="f9f9f9"/>
                </a:solidFill>
                <a:round/>
              </a:ln>
            </c:spPr>
          </c:dPt>
          <c:dPt>
            <c:idx val="1"/>
            <c:spPr>
              <a:solidFill>
                <a:srgbClr val="ffd93d"/>
              </a:solidFill>
              <a:ln w="9360">
                <a:solidFill>
                  <a:srgbClr val="f9f9f9"/>
                </a:solidFill>
                <a:round/>
              </a:ln>
            </c:spPr>
          </c:dPt>
          <c:dPt>
            <c:idx val="2"/>
            <c:spPr>
              <a:solidFill>
                <a:srgbClr val="6bcb77"/>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Dashboard!$A$9:$A$11</c:f>
              <c:strCache>
                <c:ptCount val="3"/>
                <c:pt idx="0">
                  <c:v>Tier 1</c:v>
                </c:pt>
                <c:pt idx="1">
                  <c:v>Tier 2</c:v>
                </c:pt>
                <c:pt idx="2">
                  <c:v>Tier 3</c:v>
                </c:pt>
              </c:strCache>
            </c:strRef>
          </c:cat>
          <c:val>
            <c:numRef>
              <c:f>Dashboard!$B$9:$B$11</c:f>
              <c:numCache>
                <c:formatCode>General</c:formatCode>
                <c:ptCount val="3"/>
                <c:pt idx="0">
                  <c:v>5</c:v>
                </c:pt>
                <c:pt idx="1">
                  <c:v>5</c:v>
                </c:pt>
                <c:pt idx="2">
                  <c:v>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spend by tier (SGD)</a:t>
            </a:r>
          </a:p>
        </c:rich>
      </c:tx>
      <c:overlay val="0"/>
      <c:spPr>
        <a:noFill/>
        <a:ln w="0">
          <a:noFill/>
        </a:ln>
      </c:spPr>
    </c:title>
    <c:autoTitleDeleted val="0"/>
    <c:plotArea>
      <c:barChart>
        <c:barDir val="col"/>
        <c:grouping val="clustered"/>
        <c:varyColors val="0"/>
        <c:ser>
          <c:idx val="0"/>
          <c:order val="0"/>
          <c:tx>
            <c:strRef>
              <c:f>Dashboard!E8</c:f>
              <c:strCache>
                <c:ptCount val="1"/>
                <c:pt idx="0">
                  <c:v>Spend</c:v>
                </c:pt>
              </c:strCache>
            </c:strRef>
          </c:tx>
          <c:spPr>
            <a:solidFill>
              <a:srgbClr val="2e75b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Dashboard!$D$9:$D$11</c:f>
              <c:strCache>
                <c:ptCount val="3"/>
                <c:pt idx="0">
                  <c:v>Tier 1</c:v>
                </c:pt>
                <c:pt idx="1">
                  <c:v>Tier 2</c:v>
                </c:pt>
                <c:pt idx="2">
                  <c:v>Tier 3</c:v>
                </c:pt>
              </c:strCache>
            </c:strRef>
          </c:cat>
          <c:val>
            <c:numRef>
              <c:f>Dashboard!$E$9:$E$11</c:f>
              <c:numCache>
                <c:formatCode>\$#,##0</c:formatCode>
                <c:ptCount val="3"/>
                <c:pt idx="0">
                  <c:v>2413000</c:v>
                </c:pt>
                <c:pt idx="1">
                  <c:v>203000</c:v>
                </c:pt>
                <c:pt idx="2">
                  <c:v>20000</c:v>
                </c:pt>
              </c:numCache>
            </c:numRef>
          </c:val>
        </c:ser>
        <c:gapWidth val="150"/>
        <c:overlap val="0"/>
        <c:axId val="35148526"/>
        <c:axId val="29899524"/>
      </c:barChart>
      <c:catAx>
        <c:axId val="351485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899524"/>
        <c:crosses val="autoZero"/>
        <c:auto val="1"/>
        <c:lblAlgn val="ctr"/>
        <c:lblOffset val="100"/>
        <c:noMultiLvlLbl val="0"/>
      </c:catAx>
      <c:valAx>
        <c:axId val="2989952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1485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10800</xdr:rowOff>
    </xdr:from>
    <xdr:to>
      <xdr:col>3</xdr:col>
      <xdr:colOff>1233360</xdr:colOff>
      <xdr:row>36</xdr:row>
      <xdr:rowOff>181440</xdr:rowOff>
    </xdr:to>
    <xdr:graphicFrame>
      <xdr:nvGraphicFramePr>
        <xdr:cNvPr id="0" name="Chart 1"/>
        <xdr:cNvGraphicFramePr/>
      </xdr:nvGraphicFramePr>
      <xdr:xfrm>
        <a:off x="0" y="361944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18</xdr:row>
      <xdr:rowOff>10800</xdr:rowOff>
    </xdr:from>
    <xdr:to>
      <xdr:col>10</xdr:col>
      <xdr:colOff>10440</xdr:colOff>
      <xdr:row>36</xdr:row>
      <xdr:rowOff>181440</xdr:rowOff>
    </xdr:to>
    <xdr:graphicFrame>
      <xdr:nvGraphicFramePr>
        <xdr:cNvPr id="1" name="Chart 2"/>
        <xdr:cNvGraphicFramePr/>
      </xdr:nvGraphicFramePr>
      <xdr:xfrm>
        <a:off x="6343560" y="3619440"/>
        <a:ext cx="50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3:G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7" min="3" style="0" width="16"/>
  </cols>
  <sheetData>
    <row r="3" customFormat="false" ht="26.8" hidden="false" customHeight="false" outlineLevel="0" collapsed="false">
      <c r="B3" s="1" t="s">
        <v>0</v>
      </c>
      <c r="C3" s="1"/>
      <c r="D3" s="1"/>
      <c r="E3" s="1"/>
      <c r="F3" s="1"/>
      <c r="G3" s="1"/>
    </row>
    <row r="4" customFormat="false" ht="17.35" hidden="false" customHeight="false" outlineLevel="0" collapsed="false">
      <c r="B4" s="2" t="s">
        <v>1</v>
      </c>
      <c r="C4" s="2"/>
      <c r="D4" s="2"/>
      <c r="E4" s="2"/>
      <c r="F4" s="2"/>
      <c r="G4" s="2"/>
    </row>
    <row r="7" customFormat="false" ht="15" hidden="false" customHeight="false" outlineLevel="0" collapsed="false">
      <c r="B7" s="3" t="s">
        <v>2</v>
      </c>
      <c r="C7" s="4" t="s">
        <v>3</v>
      </c>
      <c r="D7" s="4"/>
      <c r="E7" s="4"/>
      <c r="F7" s="4"/>
      <c r="G7" s="4"/>
    </row>
    <row r="8" customFormat="false" ht="15" hidden="false" customHeight="false" outlineLevel="0" collapsed="false">
      <c r="B8" s="3" t="s">
        <v>4</v>
      </c>
      <c r="C8" s="4" t="s">
        <v>5</v>
      </c>
      <c r="D8" s="4"/>
      <c r="E8" s="4"/>
      <c r="F8" s="4"/>
      <c r="G8" s="4"/>
    </row>
    <row r="9" customFormat="false" ht="15" hidden="false" customHeight="false" outlineLevel="0" collapsed="false">
      <c r="B9" s="3" t="s">
        <v>6</v>
      </c>
      <c r="C9" s="4" t="s">
        <v>7</v>
      </c>
      <c r="D9" s="4"/>
      <c r="E9" s="4"/>
      <c r="F9" s="4"/>
      <c r="G9" s="4"/>
    </row>
    <row r="10" customFormat="false" ht="15" hidden="false" customHeight="false" outlineLevel="0" collapsed="false">
      <c r="B10" s="3" t="s">
        <v>8</v>
      </c>
      <c r="C10" s="4" t="s">
        <v>9</v>
      </c>
      <c r="D10" s="4"/>
      <c r="E10" s="4"/>
      <c r="F10" s="4"/>
      <c r="G10" s="4"/>
    </row>
    <row r="11" customFormat="false" ht="15" hidden="false" customHeight="false" outlineLevel="0" collapsed="false">
      <c r="B11" s="3" t="s">
        <v>10</v>
      </c>
      <c r="C11" s="4" t="s">
        <v>11</v>
      </c>
      <c r="D11" s="4"/>
      <c r="E11" s="4"/>
      <c r="F11" s="4"/>
      <c r="G11" s="4"/>
    </row>
    <row r="12" customFormat="false" ht="15" hidden="false" customHeight="false" outlineLevel="0" collapsed="false">
      <c r="B12" s="3" t="s">
        <v>12</v>
      </c>
      <c r="C12" s="4" t="s">
        <v>13</v>
      </c>
      <c r="D12" s="4"/>
      <c r="E12" s="4"/>
      <c r="F12" s="4"/>
      <c r="G12" s="4"/>
    </row>
    <row r="13" customFormat="false" ht="15" hidden="false" customHeight="false" outlineLevel="0" collapsed="false">
      <c r="B13" s="3" t="s">
        <v>14</v>
      </c>
      <c r="C13" s="4" t="s">
        <v>15</v>
      </c>
      <c r="D13" s="4"/>
      <c r="E13" s="4"/>
      <c r="F13" s="4"/>
      <c r="G13" s="4"/>
    </row>
    <row r="14" customFormat="false" ht="15" hidden="false" customHeight="false" outlineLevel="0" collapsed="false">
      <c r="B14" s="3" t="s">
        <v>16</v>
      </c>
      <c r="C14" s="4" t="s">
        <v>17</v>
      </c>
      <c r="D14" s="4"/>
      <c r="E14" s="4"/>
      <c r="F14" s="4"/>
      <c r="G14" s="4"/>
    </row>
    <row r="15" customFormat="false" ht="15" hidden="false" customHeight="false" outlineLevel="0" collapsed="false">
      <c r="B15" s="3" t="s">
        <v>18</v>
      </c>
      <c r="C15" s="4" t="s">
        <v>19</v>
      </c>
      <c r="D15" s="4"/>
      <c r="E15" s="4"/>
      <c r="F15" s="4"/>
      <c r="G15" s="4"/>
    </row>
    <row r="18" customFormat="false" ht="15" hidden="false" customHeight="true" outlineLevel="0" collapsed="false">
      <c r="B18" s="5" t="s">
        <v>20</v>
      </c>
      <c r="C18" s="5"/>
      <c r="D18" s="5"/>
      <c r="E18" s="5"/>
      <c r="F18" s="5"/>
      <c r="G18" s="5"/>
    </row>
    <row r="19" customFormat="false" ht="15" hidden="false" customHeight="false" outlineLevel="0" collapsed="false">
      <c r="B19" s="5"/>
      <c r="C19" s="5"/>
      <c r="D19" s="5"/>
      <c r="E19" s="5"/>
      <c r="F19" s="5"/>
      <c r="G19" s="5"/>
    </row>
    <row r="20" customFormat="false" ht="15" hidden="false" customHeight="false" outlineLevel="0" collapsed="false">
      <c r="B20" s="5"/>
      <c r="C20" s="5"/>
      <c r="D20" s="5"/>
      <c r="E20" s="5"/>
      <c r="F20" s="5"/>
      <c r="G20" s="5"/>
    </row>
    <row r="21" customFormat="false" ht="15" hidden="false" customHeight="false" outlineLevel="0" collapsed="false">
      <c r="B21" s="5"/>
      <c r="C21" s="5"/>
      <c r="D21" s="5"/>
      <c r="E21" s="5"/>
      <c r="F21" s="5"/>
      <c r="G21" s="5"/>
    </row>
  </sheetData>
  <mergeCells count="12">
    <mergeCell ref="B3:G3"/>
    <mergeCell ref="B4:G4"/>
    <mergeCell ref="C7:G7"/>
    <mergeCell ref="C8:G8"/>
    <mergeCell ref="C9:G9"/>
    <mergeCell ref="C10:G10"/>
    <mergeCell ref="C11:G11"/>
    <mergeCell ref="C12:G12"/>
    <mergeCell ref="C13:G13"/>
    <mergeCell ref="C14:G14"/>
    <mergeCell ref="C15:G15"/>
    <mergeCell ref="B18: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8"/>
  </cols>
  <sheetData>
    <row r="1" customFormat="false" ht="17.35" hidden="false" customHeight="false" outlineLevel="0" collapsed="false">
      <c r="A1" s="6" t="s">
        <v>21</v>
      </c>
      <c r="B1" s="6"/>
      <c r="C1" s="6"/>
      <c r="D1" s="6"/>
      <c r="E1" s="6"/>
      <c r="F1" s="6"/>
      <c r="G1" s="6"/>
      <c r="H1" s="6"/>
    </row>
    <row r="3" customFormat="false" ht="15" hidden="false" customHeight="false" outlineLevel="0" collapsed="false">
      <c r="A3" s="7" t="s">
        <v>22</v>
      </c>
      <c r="B3" s="7"/>
      <c r="C3" s="7" t="s">
        <v>23</v>
      </c>
      <c r="D3" s="7"/>
      <c r="E3" s="7" t="s">
        <v>24</v>
      </c>
      <c r="F3" s="7"/>
      <c r="G3" s="7" t="s">
        <v>25</v>
      </c>
      <c r="H3" s="7"/>
    </row>
    <row r="4" customFormat="false" ht="26.8" hidden="false" customHeight="false" outlineLevel="0" collapsed="false">
      <c r="A4" s="8" t="n">
        <f aca="false">COUNTA('Vendor Inventory'!A4:A15)</f>
        <v>12</v>
      </c>
      <c r="B4" s="8"/>
      <c r="C4" s="9" t="n">
        <f aca="false">COUNTIF('Vendor Inventory'!D4:D15,"Tier 1")</f>
        <v>5</v>
      </c>
      <c r="D4" s="9"/>
      <c r="E4" s="10" t="n">
        <f aca="false">COUNTIF('Vendor Inventory'!D4:D15,"Tier 2")</f>
        <v>5</v>
      </c>
      <c r="F4" s="10"/>
      <c r="G4" s="11" t="n">
        <f aca="false">COUNTIF('Vendor Inventory'!D4:D15,"Tier 3")</f>
        <v>2</v>
      </c>
      <c r="H4" s="11"/>
    </row>
    <row r="7" customFormat="false" ht="15" hidden="false" customHeight="false" outlineLevel="0" collapsed="false">
      <c r="A7" s="12" t="s">
        <v>26</v>
      </c>
      <c r="D7" s="12" t="s">
        <v>27</v>
      </c>
    </row>
    <row r="8" customFormat="false" ht="15" hidden="false" customHeight="false" outlineLevel="0" collapsed="false">
      <c r="A8" s="3" t="s">
        <v>28</v>
      </c>
      <c r="B8" s="3" t="s">
        <v>29</v>
      </c>
      <c r="D8" s="3" t="s">
        <v>28</v>
      </c>
      <c r="E8" s="3" t="s">
        <v>30</v>
      </c>
    </row>
    <row r="9" customFormat="false" ht="15" hidden="false" customHeight="false" outlineLevel="0" collapsed="false">
      <c r="A9" s="13" t="s">
        <v>31</v>
      </c>
      <c r="B9" s="13" t="n">
        <f aca="false">COUNTIF('Vendor Inventory'!D4:D15,"Tier 1")</f>
        <v>5</v>
      </c>
      <c r="D9" s="13" t="s">
        <v>31</v>
      </c>
      <c r="E9" s="14" t="n">
        <f aca="false">SUMIF('Vendor Inventory'!D4:D15,"Tier 1",'Vendor Inventory'!F4:F15)</f>
        <v>2413000</v>
      </c>
    </row>
    <row r="10" customFormat="false" ht="15" hidden="false" customHeight="false" outlineLevel="0" collapsed="false">
      <c r="A10" s="13" t="s">
        <v>32</v>
      </c>
      <c r="B10" s="13" t="n">
        <f aca="false">COUNTIF('Vendor Inventory'!D4:D15,"Tier 2")</f>
        <v>5</v>
      </c>
      <c r="D10" s="13" t="s">
        <v>32</v>
      </c>
      <c r="E10" s="14" t="n">
        <f aca="false">SUMIF('Vendor Inventory'!D4:D15,"Tier 2",'Vendor Inventory'!F4:F15)</f>
        <v>203000</v>
      </c>
    </row>
    <row r="11" customFormat="false" ht="15" hidden="false" customHeight="false" outlineLevel="0" collapsed="false">
      <c r="A11" s="13" t="s">
        <v>33</v>
      </c>
      <c r="B11" s="13" t="n">
        <f aca="false">COUNTIF('Vendor Inventory'!D4:D15,"Tier 3")</f>
        <v>2</v>
      </c>
      <c r="D11" s="13" t="s">
        <v>33</v>
      </c>
      <c r="E11" s="14" t="n">
        <f aca="false">SUMIF('Vendor Inventory'!D4:D15,"Tier 3",'Vendor Inventory'!F4:F15)</f>
        <v>20000</v>
      </c>
    </row>
    <row r="14" customFormat="false" ht="15" hidden="false" customHeight="false" outlineLevel="0" collapsed="false">
      <c r="A14" s="12" t="s">
        <v>34</v>
      </c>
    </row>
    <row r="15" customFormat="false" ht="15" hidden="false" customHeight="false" outlineLevel="0" collapsed="false">
      <c r="A15" s="3" t="s">
        <v>35</v>
      </c>
      <c r="B15" s="3" t="s">
        <v>28</v>
      </c>
      <c r="C15" s="3" t="s">
        <v>36</v>
      </c>
      <c r="D15" s="3" t="s">
        <v>37</v>
      </c>
      <c r="E15" s="3" t="s">
        <v>38</v>
      </c>
    </row>
    <row r="16" customFormat="false" ht="15" hidden="false" customHeight="false" outlineLevel="0" collapsed="false">
      <c r="A16" s="15" t="s">
        <v>39</v>
      </c>
      <c r="B16" s="15" t="s">
        <v>31</v>
      </c>
      <c r="C16" s="16" t="n">
        <f aca="false">'Scoring Matrix'!D32</f>
        <v>4.7875</v>
      </c>
      <c r="D16" s="17" t="str">
        <f aca="false">'Scoring Matrix'!D33</f>
        <v>APPROVE</v>
      </c>
      <c r="E16" s="15" t="s">
        <v>40</v>
      </c>
    </row>
    <row r="17" customFormat="false" ht="15" hidden="false" customHeight="false" outlineLevel="0" collapsed="false">
      <c r="A17" s="15" t="s">
        <v>41</v>
      </c>
      <c r="B17" s="15" t="s">
        <v>32</v>
      </c>
      <c r="C17" s="16" t="n">
        <f aca="false">'Scoring Matrix'!F32</f>
        <v>3.2125</v>
      </c>
      <c r="D17" s="17" t="str">
        <f aca="false">'Scoring Matrix'!F33</f>
        <v>APPROVE WITH CONDITIONS</v>
      </c>
      <c r="E17" s="15" t="s">
        <v>42</v>
      </c>
    </row>
  </sheetData>
  <mergeCells count="9">
    <mergeCell ref="A1:H1"/>
    <mergeCell ref="A3:B3"/>
    <mergeCell ref="C3:D3"/>
    <mergeCell ref="E3:F3"/>
    <mergeCell ref="G3:H3"/>
    <mergeCell ref="A4:B4"/>
    <mergeCell ref="C4:D4"/>
    <mergeCell ref="E4:F4"/>
    <mergeCell ref="G4:H4"/>
  </mergeCells>
  <conditionalFormatting sqref="D16">
    <cfRule type="cellIs" priority="2" operator="equal" aboveAverage="0" equalAverage="0" bottom="0" percent="0" rank="0" text="" dxfId="0">
      <formula>"APPROVE"</formula>
    </cfRule>
    <cfRule type="cellIs" priority="3" operator="equal" aboveAverage="0" equalAverage="0" bottom="0" percent="0" rank="0" text="" dxfId="1">
      <formula>"APPROVE WITH CONDITIONS"</formula>
    </cfRule>
    <cfRule type="cellIs" priority="4" operator="equal" aboveAverage="0" equalAverage="0" bottom="0" percent="0" rank="0" text="" dxfId="2">
      <formula>"REJECT"</formula>
    </cfRule>
  </conditionalFormatting>
  <conditionalFormatting sqref="D17">
    <cfRule type="cellIs" priority="5" operator="equal" aboveAverage="0" equalAverage="0" bottom="0" percent="0" rank="0" text="" dxfId="0">
      <formula>"APPROVE"</formula>
    </cfRule>
    <cfRule type="cellIs" priority="6" operator="equal" aboveAverage="0" equalAverage="0" bottom="0" percent="0" rank="0" text="" dxfId="1">
      <formula>"APPROVE WITH CONDITIONS"</formula>
    </cfRule>
    <cfRule type="cellIs" priority="7" operator="equal" aboveAverage="0" equalAverage="0" bottom="0" percent="0" rank="0" text="" dxfId="2">
      <formula>"REJECT"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28"/>
    <col collapsed="false" customWidth="true" hidden="false" outlineLevel="0" max="4" min="4" style="0" width="30"/>
    <col collapsed="false" customWidth="true" hidden="false" outlineLevel="0" max="5" min="5" style="0" width="32"/>
    <col collapsed="false" customWidth="true" hidden="false" outlineLevel="0" max="6" min="6" style="0" width="14"/>
    <col collapsed="false" customWidth="true" hidden="false" outlineLevel="0" max="7" min="7" style="0" width="12"/>
  </cols>
  <sheetData>
    <row r="1" customFormat="false" ht="17.35" hidden="false" customHeight="false" outlineLevel="0" collapsed="false">
      <c r="A1" s="6" t="s">
        <v>43</v>
      </c>
      <c r="B1" s="6"/>
      <c r="C1" s="6"/>
      <c r="D1" s="6"/>
      <c r="E1" s="6"/>
      <c r="F1" s="6"/>
      <c r="G1" s="6"/>
    </row>
    <row r="3" customFormat="false" ht="15" hidden="false" customHeight="false" outlineLevel="0" collapsed="false">
      <c r="A3" s="18" t="s">
        <v>44</v>
      </c>
      <c r="B3" s="18"/>
      <c r="C3" s="18"/>
      <c r="D3" s="18"/>
      <c r="E3" s="18"/>
      <c r="F3" s="18"/>
      <c r="G3" s="18"/>
    </row>
    <row r="4" customFormat="false" ht="15" hidden="false" customHeight="true" outlineLevel="0" collapsed="false">
      <c r="A4" s="19" t="s">
        <v>45</v>
      </c>
      <c r="B4" s="19"/>
      <c r="C4" s="19"/>
      <c r="D4" s="19"/>
      <c r="E4" s="19"/>
      <c r="F4" s="19"/>
      <c r="G4" s="19"/>
    </row>
    <row r="5" customFormat="false" ht="15" hidden="false" customHeight="false" outlineLevel="0" collapsed="false">
      <c r="A5" s="19"/>
      <c r="B5" s="19"/>
      <c r="C5" s="19"/>
      <c r="D5" s="19"/>
      <c r="E5" s="19"/>
      <c r="F5" s="19"/>
      <c r="G5" s="19"/>
    </row>
    <row r="6" customFormat="false" ht="15" hidden="false" customHeight="false" outlineLevel="0" collapsed="false">
      <c r="A6" s="19"/>
      <c r="B6" s="19"/>
      <c r="C6" s="19"/>
      <c r="D6" s="19"/>
      <c r="E6" s="19"/>
      <c r="F6" s="19"/>
      <c r="G6" s="19"/>
    </row>
    <row r="8" customFormat="false" ht="26.85" hidden="false" customHeight="false" outlineLevel="0" collapsed="false">
      <c r="A8" s="20" t="s">
        <v>28</v>
      </c>
      <c r="B8" s="20" t="s">
        <v>46</v>
      </c>
      <c r="C8" s="20" t="s">
        <v>47</v>
      </c>
      <c r="D8" s="20" t="s">
        <v>48</v>
      </c>
      <c r="E8" s="20" t="s">
        <v>49</v>
      </c>
      <c r="F8" s="20" t="s">
        <v>50</v>
      </c>
    </row>
    <row r="9" customFormat="false" ht="35.05" hidden="false" customHeight="false" outlineLevel="0" collapsed="false">
      <c r="A9" s="21" t="s">
        <v>31</v>
      </c>
      <c r="B9" s="22" t="s">
        <v>51</v>
      </c>
      <c r="C9" s="23" t="s">
        <v>52</v>
      </c>
      <c r="D9" s="23" t="s">
        <v>53</v>
      </c>
      <c r="E9" s="23" t="s">
        <v>54</v>
      </c>
      <c r="F9" s="23" t="s">
        <v>55</v>
      </c>
    </row>
    <row r="10" customFormat="false" ht="35.05" hidden="false" customHeight="false" outlineLevel="0" collapsed="false">
      <c r="A10" s="24" t="s">
        <v>32</v>
      </c>
      <c r="B10" s="22" t="s">
        <v>56</v>
      </c>
      <c r="C10" s="23" t="s">
        <v>57</v>
      </c>
      <c r="D10" s="23" t="s">
        <v>58</v>
      </c>
      <c r="E10" s="23" t="s">
        <v>59</v>
      </c>
      <c r="F10" s="23" t="s">
        <v>55</v>
      </c>
    </row>
    <row r="11" customFormat="false" ht="23.85" hidden="false" customHeight="false" outlineLevel="0" collapsed="false">
      <c r="A11" s="25" t="s">
        <v>33</v>
      </c>
      <c r="B11" s="22" t="s">
        <v>60</v>
      </c>
      <c r="C11" s="23" t="s">
        <v>61</v>
      </c>
      <c r="D11" s="23" t="s">
        <v>62</v>
      </c>
      <c r="E11" s="23" t="s">
        <v>63</v>
      </c>
      <c r="F11" s="23" t="s">
        <v>64</v>
      </c>
    </row>
    <row r="13" customFormat="false" ht="15" hidden="false" customHeight="false" outlineLevel="0" collapsed="false">
      <c r="A13" s="18" t="s">
        <v>65</v>
      </c>
      <c r="B13" s="18"/>
      <c r="C13" s="18"/>
      <c r="D13" s="18"/>
      <c r="E13" s="18"/>
      <c r="F13" s="18"/>
      <c r="G13" s="18"/>
    </row>
    <row r="14" customFormat="false" ht="15" hidden="false" customHeight="false" outlineLevel="0" collapsed="false">
      <c r="A14" s="20" t="s">
        <v>66</v>
      </c>
      <c r="B14" s="20" t="s">
        <v>67</v>
      </c>
      <c r="C14" s="20" t="s">
        <v>68</v>
      </c>
      <c r="D14" s="20" t="s">
        <v>69</v>
      </c>
    </row>
    <row r="15" customFormat="false" ht="46.25" hidden="false" customHeight="false" outlineLevel="0" collapsed="false">
      <c r="A15" s="23" t="n">
        <v>5</v>
      </c>
      <c r="B15" s="23" t="s">
        <v>70</v>
      </c>
      <c r="C15" s="23" t="s">
        <v>71</v>
      </c>
      <c r="D15" s="23" t="s">
        <v>72</v>
      </c>
    </row>
    <row r="16" customFormat="false" ht="35.05" hidden="false" customHeight="false" outlineLevel="0" collapsed="false">
      <c r="A16" s="26" t="n">
        <v>4</v>
      </c>
      <c r="B16" s="26" t="s">
        <v>73</v>
      </c>
      <c r="C16" s="26" t="s">
        <v>74</v>
      </c>
      <c r="D16" s="26" t="s">
        <v>75</v>
      </c>
    </row>
    <row r="17" customFormat="false" ht="35.05" hidden="false" customHeight="false" outlineLevel="0" collapsed="false">
      <c r="A17" s="23" t="n">
        <v>3</v>
      </c>
      <c r="B17" s="23" t="s">
        <v>76</v>
      </c>
      <c r="C17" s="23" t="s">
        <v>77</v>
      </c>
      <c r="D17" s="23" t="s">
        <v>78</v>
      </c>
    </row>
    <row r="18" customFormat="false" ht="35.05" hidden="false" customHeight="false" outlineLevel="0" collapsed="false">
      <c r="A18" s="26" t="n">
        <v>2</v>
      </c>
      <c r="B18" s="26" t="s">
        <v>79</v>
      </c>
      <c r="C18" s="26" t="s">
        <v>80</v>
      </c>
      <c r="D18" s="26" t="s">
        <v>81</v>
      </c>
    </row>
    <row r="19" customFormat="false" ht="35.05" hidden="false" customHeight="false" outlineLevel="0" collapsed="false">
      <c r="A19" s="23" t="n">
        <v>1</v>
      </c>
      <c r="B19" s="23" t="s">
        <v>82</v>
      </c>
      <c r="C19" s="23" t="s">
        <v>83</v>
      </c>
      <c r="D19" s="23" t="s">
        <v>84</v>
      </c>
    </row>
    <row r="21" customFormat="false" ht="15" hidden="false" customHeight="false" outlineLevel="0" collapsed="false">
      <c r="A21" s="18" t="s">
        <v>85</v>
      </c>
      <c r="B21" s="18"/>
      <c r="C21" s="18"/>
      <c r="D21" s="18"/>
      <c r="E21" s="18"/>
      <c r="F21" s="18"/>
      <c r="G21" s="18"/>
    </row>
    <row r="22" customFormat="false" ht="15" hidden="false" customHeight="false" outlineLevel="0" collapsed="false">
      <c r="A22" s="20" t="s">
        <v>86</v>
      </c>
      <c r="B22" s="20" t="s">
        <v>87</v>
      </c>
      <c r="C22" s="20" t="s">
        <v>88</v>
      </c>
    </row>
    <row r="23" customFormat="false" ht="46.25" hidden="false" customHeight="false" outlineLevel="0" collapsed="false">
      <c r="A23" s="23" t="s">
        <v>89</v>
      </c>
      <c r="B23" s="23" t="n">
        <v>25</v>
      </c>
      <c r="C23" s="23" t="s">
        <v>90</v>
      </c>
    </row>
    <row r="24" customFormat="false" ht="35.05" hidden="false" customHeight="false" outlineLevel="0" collapsed="false">
      <c r="A24" s="26" t="s">
        <v>91</v>
      </c>
      <c r="B24" s="26" t="n">
        <v>15</v>
      </c>
      <c r="C24" s="26" t="s">
        <v>92</v>
      </c>
    </row>
    <row r="25" customFormat="false" ht="35.05" hidden="false" customHeight="false" outlineLevel="0" collapsed="false">
      <c r="A25" s="23" t="s">
        <v>93</v>
      </c>
      <c r="B25" s="23" t="n">
        <v>15</v>
      </c>
      <c r="C25" s="23" t="s">
        <v>94</v>
      </c>
    </row>
    <row r="26" customFormat="false" ht="35.05" hidden="false" customHeight="false" outlineLevel="0" collapsed="false">
      <c r="A26" s="26" t="s">
        <v>95</v>
      </c>
      <c r="B26" s="26" t="n">
        <v>15</v>
      </c>
      <c r="C26" s="26" t="s">
        <v>96</v>
      </c>
    </row>
    <row r="27" customFormat="false" ht="35.05" hidden="false" customHeight="false" outlineLevel="0" collapsed="false">
      <c r="A27" s="23" t="s">
        <v>97</v>
      </c>
      <c r="B27" s="23" t="n">
        <v>10</v>
      </c>
      <c r="C27" s="23" t="s">
        <v>98</v>
      </c>
    </row>
    <row r="28" customFormat="false" ht="35.05" hidden="false" customHeight="false" outlineLevel="0" collapsed="false">
      <c r="A28" s="26" t="s">
        <v>99</v>
      </c>
      <c r="B28" s="26" t="n">
        <v>10</v>
      </c>
      <c r="C28" s="26" t="s">
        <v>100</v>
      </c>
    </row>
    <row r="29" customFormat="false" ht="35.05" hidden="false" customHeight="false" outlineLevel="0" collapsed="false">
      <c r="A29" s="23" t="s">
        <v>101</v>
      </c>
      <c r="B29" s="23" t="n">
        <v>10</v>
      </c>
      <c r="C29" s="23" t="s">
        <v>102</v>
      </c>
    </row>
    <row r="30" customFormat="false" ht="15" hidden="false" customHeight="false" outlineLevel="0" collapsed="false">
      <c r="A30" s="18" t="s">
        <v>103</v>
      </c>
      <c r="B30" s="18"/>
      <c r="C30" s="18"/>
      <c r="D30" s="18"/>
      <c r="E30" s="18"/>
      <c r="F30" s="18"/>
      <c r="G30" s="18"/>
    </row>
    <row r="31" customFormat="false" ht="15" hidden="false" customHeight="false" outlineLevel="0" collapsed="false">
      <c r="A31" s="20" t="s">
        <v>104</v>
      </c>
      <c r="B31" s="20" t="s">
        <v>37</v>
      </c>
      <c r="C31" s="20" t="s">
        <v>105</v>
      </c>
    </row>
    <row r="32" customFormat="false" ht="15" hidden="false" customHeight="false" outlineLevel="0" collapsed="false">
      <c r="A32" s="23" t="s">
        <v>106</v>
      </c>
      <c r="B32" s="23" t="s">
        <v>107</v>
      </c>
      <c r="C32" s="23" t="s">
        <v>108</v>
      </c>
    </row>
    <row r="33" customFormat="false" ht="23.85" hidden="false" customHeight="false" outlineLevel="0" collapsed="false">
      <c r="A33" s="26" t="s">
        <v>109</v>
      </c>
      <c r="B33" s="26" t="s">
        <v>110</v>
      </c>
      <c r="C33" s="26" t="s">
        <v>111</v>
      </c>
    </row>
    <row r="34" customFormat="false" ht="35.05" hidden="false" customHeight="false" outlineLevel="0" collapsed="false">
      <c r="A34" s="23" t="s">
        <v>112</v>
      </c>
      <c r="B34" s="23" t="s">
        <v>113</v>
      </c>
      <c r="C34" s="23" t="s">
        <v>114</v>
      </c>
    </row>
    <row r="35" customFormat="false" ht="23.85" hidden="false" customHeight="false" outlineLevel="0" collapsed="false">
      <c r="A35" s="26" t="s">
        <v>115</v>
      </c>
      <c r="B35" s="26" t="s">
        <v>116</v>
      </c>
      <c r="C35" s="26" t="s">
        <v>117</v>
      </c>
    </row>
  </sheetData>
  <mergeCells count="6">
    <mergeCell ref="A1:G1"/>
    <mergeCell ref="A3:G3"/>
    <mergeCell ref="A4:G6"/>
    <mergeCell ref="A13:G13"/>
    <mergeCell ref="A21:G21"/>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8135"/>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5"/>
    <col collapsed="false" customWidth="true" hidden="false" outlineLevel="0" max="4" min="4" style="0" width="8"/>
    <col collapsed="false" customWidth="true" hidden="false" outlineLevel="0" max="5" min="5" style="0" width="22"/>
    <col collapsed="false" customWidth="true" hidden="false" outlineLevel="0" max="7" min="6" style="0" width="14"/>
    <col collapsed="false" customWidth="true" hidden="false" outlineLevel="0" max="8" min="8" style="0" width="18"/>
    <col collapsed="false" customWidth="true" hidden="false" outlineLevel="0" max="9" min="9" style="0" width="16"/>
    <col collapsed="false" customWidth="true" hidden="false" outlineLevel="0" max="10" min="10" style="0" width="12"/>
  </cols>
  <sheetData>
    <row r="1" customFormat="false" ht="17.35" hidden="false" customHeight="false" outlineLevel="0" collapsed="false">
      <c r="A1" s="6" t="s">
        <v>118</v>
      </c>
      <c r="B1" s="6"/>
      <c r="C1" s="6"/>
      <c r="D1" s="6"/>
      <c r="E1" s="6"/>
      <c r="F1" s="6"/>
      <c r="G1" s="6"/>
      <c r="H1" s="6"/>
      <c r="I1" s="6"/>
      <c r="J1" s="6"/>
    </row>
    <row r="3" customFormat="false" ht="39.55" hidden="false" customHeight="false" outlineLevel="0" collapsed="false">
      <c r="A3" s="20" t="s">
        <v>119</v>
      </c>
      <c r="B3" s="20" t="s">
        <v>120</v>
      </c>
      <c r="C3" s="20" t="s">
        <v>121</v>
      </c>
      <c r="D3" s="20" t="s">
        <v>28</v>
      </c>
      <c r="E3" s="20" t="s">
        <v>47</v>
      </c>
      <c r="F3" s="20" t="s">
        <v>122</v>
      </c>
      <c r="G3" s="20" t="s">
        <v>123</v>
      </c>
      <c r="H3" s="20" t="s">
        <v>124</v>
      </c>
      <c r="I3" s="20" t="s">
        <v>38</v>
      </c>
      <c r="J3" s="20" t="s">
        <v>125</v>
      </c>
    </row>
    <row r="4" customFormat="false" ht="23.85" hidden="false" customHeight="false" outlineLevel="0" collapsed="false">
      <c r="A4" s="27" t="s">
        <v>126</v>
      </c>
      <c r="B4" s="23" t="s">
        <v>127</v>
      </c>
      <c r="C4" s="23" t="s">
        <v>128</v>
      </c>
      <c r="D4" s="28" t="s">
        <v>31</v>
      </c>
      <c r="E4" s="23" t="s">
        <v>129</v>
      </c>
      <c r="F4" s="29" t="n">
        <v>240000</v>
      </c>
      <c r="G4" s="23" t="s">
        <v>130</v>
      </c>
      <c r="H4" s="23" t="s">
        <v>131</v>
      </c>
      <c r="I4" s="23" t="s">
        <v>40</v>
      </c>
      <c r="J4" s="28" t="s">
        <v>132</v>
      </c>
    </row>
    <row r="5" customFormat="false" ht="23.85" hidden="false" customHeight="false" outlineLevel="0" collapsed="false">
      <c r="A5" s="30" t="s">
        <v>133</v>
      </c>
      <c r="B5" s="26" t="s">
        <v>134</v>
      </c>
      <c r="C5" s="26" t="s">
        <v>135</v>
      </c>
      <c r="D5" s="31" t="s">
        <v>31</v>
      </c>
      <c r="E5" s="26" t="s">
        <v>136</v>
      </c>
      <c r="F5" s="32" t="n">
        <v>850000</v>
      </c>
      <c r="G5" s="26" t="s">
        <v>137</v>
      </c>
      <c r="H5" s="26" t="s">
        <v>138</v>
      </c>
      <c r="I5" s="26" t="s">
        <v>139</v>
      </c>
      <c r="J5" s="31" t="s">
        <v>140</v>
      </c>
    </row>
    <row r="6" customFormat="false" ht="23.85" hidden="false" customHeight="false" outlineLevel="0" collapsed="false">
      <c r="A6" s="27" t="s">
        <v>141</v>
      </c>
      <c r="B6" s="23" t="s">
        <v>142</v>
      </c>
      <c r="C6" s="23" t="s">
        <v>143</v>
      </c>
      <c r="D6" s="28" t="s">
        <v>31</v>
      </c>
      <c r="E6" s="23" t="s">
        <v>144</v>
      </c>
      <c r="F6" s="29" t="n">
        <v>1200000</v>
      </c>
      <c r="G6" s="23" t="s">
        <v>145</v>
      </c>
      <c r="H6" s="23" t="s">
        <v>146</v>
      </c>
      <c r="I6" s="23" t="s">
        <v>40</v>
      </c>
      <c r="J6" s="28" t="s">
        <v>140</v>
      </c>
    </row>
    <row r="7" customFormat="false" ht="23.85" hidden="false" customHeight="false" outlineLevel="0" collapsed="false">
      <c r="A7" s="30" t="s">
        <v>147</v>
      </c>
      <c r="B7" s="26" t="s">
        <v>148</v>
      </c>
      <c r="C7" s="26" t="s">
        <v>149</v>
      </c>
      <c r="D7" s="31" t="s">
        <v>31</v>
      </c>
      <c r="E7" s="26" t="s">
        <v>150</v>
      </c>
      <c r="F7" s="32" t="n">
        <v>95000</v>
      </c>
      <c r="G7" s="26" t="s">
        <v>151</v>
      </c>
      <c r="H7" s="26" t="s">
        <v>152</v>
      </c>
      <c r="I7" s="26" t="s">
        <v>153</v>
      </c>
      <c r="J7" s="31" t="s">
        <v>140</v>
      </c>
    </row>
    <row r="8" customFormat="false" ht="23.85" hidden="false" customHeight="false" outlineLevel="0" collapsed="false">
      <c r="A8" s="27" t="s">
        <v>154</v>
      </c>
      <c r="B8" s="23" t="s">
        <v>41</v>
      </c>
      <c r="C8" s="23" t="s">
        <v>155</v>
      </c>
      <c r="D8" s="28" t="s">
        <v>32</v>
      </c>
      <c r="E8" s="23" t="s">
        <v>156</v>
      </c>
      <c r="F8" s="29" t="n">
        <v>48000</v>
      </c>
      <c r="G8" s="23" t="s">
        <v>157</v>
      </c>
      <c r="H8" s="23" t="s">
        <v>158</v>
      </c>
      <c r="I8" s="23" t="s">
        <v>42</v>
      </c>
      <c r="J8" s="28" t="s">
        <v>132</v>
      </c>
    </row>
    <row r="9" customFormat="false" ht="23.85" hidden="false" customHeight="false" outlineLevel="0" collapsed="false">
      <c r="A9" s="30" t="s">
        <v>159</v>
      </c>
      <c r="B9" s="26" t="s">
        <v>160</v>
      </c>
      <c r="C9" s="26" t="s">
        <v>161</v>
      </c>
      <c r="D9" s="31" t="s">
        <v>32</v>
      </c>
      <c r="E9" s="26" t="s">
        <v>162</v>
      </c>
      <c r="F9" s="32" t="n">
        <v>32000</v>
      </c>
      <c r="G9" s="26" t="s">
        <v>163</v>
      </c>
      <c r="H9" s="26" t="s">
        <v>131</v>
      </c>
      <c r="I9" s="26" t="s">
        <v>164</v>
      </c>
      <c r="J9" s="31" t="s">
        <v>140</v>
      </c>
    </row>
    <row r="10" customFormat="false" ht="23.85" hidden="false" customHeight="false" outlineLevel="0" collapsed="false">
      <c r="A10" s="27" t="s">
        <v>165</v>
      </c>
      <c r="B10" s="23" t="s">
        <v>166</v>
      </c>
      <c r="C10" s="23" t="s">
        <v>167</v>
      </c>
      <c r="D10" s="28" t="s">
        <v>31</v>
      </c>
      <c r="E10" s="23" t="s">
        <v>168</v>
      </c>
      <c r="F10" s="29" t="n">
        <v>28000</v>
      </c>
      <c r="G10" s="23" t="s">
        <v>169</v>
      </c>
      <c r="H10" s="23" t="s">
        <v>152</v>
      </c>
      <c r="I10" s="23" t="s">
        <v>164</v>
      </c>
      <c r="J10" s="28" t="s">
        <v>140</v>
      </c>
    </row>
    <row r="11" customFormat="false" ht="23.85" hidden="false" customHeight="false" outlineLevel="0" collapsed="false">
      <c r="A11" s="30" t="s">
        <v>170</v>
      </c>
      <c r="B11" s="26" t="s">
        <v>171</v>
      </c>
      <c r="C11" s="26" t="s">
        <v>172</v>
      </c>
      <c r="D11" s="31" t="s">
        <v>32</v>
      </c>
      <c r="E11" s="26" t="s">
        <v>173</v>
      </c>
      <c r="F11" s="32" t="n">
        <v>36000</v>
      </c>
      <c r="G11" s="26" t="s">
        <v>174</v>
      </c>
      <c r="H11" s="26" t="s">
        <v>131</v>
      </c>
      <c r="I11" s="26" t="s">
        <v>153</v>
      </c>
      <c r="J11" s="31" t="s">
        <v>140</v>
      </c>
    </row>
    <row r="12" customFormat="false" ht="23.85" hidden="false" customHeight="false" outlineLevel="0" collapsed="false">
      <c r="A12" s="27" t="s">
        <v>175</v>
      </c>
      <c r="B12" s="23" t="s">
        <v>176</v>
      </c>
      <c r="C12" s="23" t="s">
        <v>177</v>
      </c>
      <c r="D12" s="28" t="s">
        <v>32</v>
      </c>
      <c r="E12" s="23" t="s">
        <v>178</v>
      </c>
      <c r="F12" s="29" t="n">
        <v>22000</v>
      </c>
      <c r="G12" s="23" t="s">
        <v>179</v>
      </c>
      <c r="H12" s="23" t="s">
        <v>158</v>
      </c>
      <c r="I12" s="23" t="s">
        <v>164</v>
      </c>
      <c r="J12" s="28" t="s">
        <v>140</v>
      </c>
    </row>
    <row r="13" customFormat="false" ht="23.85" hidden="false" customHeight="false" outlineLevel="0" collapsed="false">
      <c r="A13" s="30" t="s">
        <v>180</v>
      </c>
      <c r="B13" s="26" t="s">
        <v>181</v>
      </c>
      <c r="C13" s="26" t="s">
        <v>182</v>
      </c>
      <c r="D13" s="31" t="s">
        <v>32</v>
      </c>
      <c r="E13" s="26" t="s">
        <v>183</v>
      </c>
      <c r="F13" s="32" t="n">
        <v>65000</v>
      </c>
      <c r="G13" s="26" t="s">
        <v>184</v>
      </c>
      <c r="H13" s="26" t="s">
        <v>152</v>
      </c>
      <c r="I13" s="26" t="s">
        <v>153</v>
      </c>
      <c r="J13" s="31" t="s">
        <v>140</v>
      </c>
    </row>
    <row r="14" customFormat="false" ht="23.85" hidden="false" customHeight="false" outlineLevel="0" collapsed="false">
      <c r="A14" s="27" t="s">
        <v>185</v>
      </c>
      <c r="B14" s="23" t="s">
        <v>186</v>
      </c>
      <c r="C14" s="23" t="s">
        <v>187</v>
      </c>
      <c r="D14" s="28" t="s">
        <v>33</v>
      </c>
      <c r="E14" s="23" t="s">
        <v>188</v>
      </c>
      <c r="F14" s="29" t="n">
        <v>14000</v>
      </c>
      <c r="G14" s="23" t="s">
        <v>189</v>
      </c>
      <c r="H14" s="23" t="s">
        <v>158</v>
      </c>
      <c r="I14" s="23" t="s">
        <v>190</v>
      </c>
      <c r="J14" s="28" t="s">
        <v>140</v>
      </c>
    </row>
    <row r="15" customFormat="false" ht="23.85" hidden="false" customHeight="false" outlineLevel="0" collapsed="false">
      <c r="A15" s="30" t="s">
        <v>191</v>
      </c>
      <c r="B15" s="26" t="s">
        <v>192</v>
      </c>
      <c r="C15" s="26" t="s">
        <v>193</v>
      </c>
      <c r="D15" s="31" t="s">
        <v>33</v>
      </c>
      <c r="E15" s="26" t="s">
        <v>194</v>
      </c>
      <c r="F15" s="32" t="n">
        <v>6000</v>
      </c>
      <c r="G15" s="26" t="s">
        <v>195</v>
      </c>
      <c r="H15" s="26" t="s">
        <v>158</v>
      </c>
      <c r="I15" s="26" t="s">
        <v>196</v>
      </c>
      <c r="J15" s="31" t="s">
        <v>140</v>
      </c>
    </row>
  </sheetData>
  <autoFilter ref="A3:J15"/>
  <mergeCells count="1">
    <mergeCell ref="A1:J1"/>
  </mergeCells>
  <conditionalFormatting sqref="D4:D15">
    <cfRule type="cellIs" priority="2" operator="equal" aboveAverage="0" equalAverage="0" bottom="0" percent="0" rank="0" text="" dxfId="11">
      <formula>"Tier 1"</formula>
    </cfRule>
    <cfRule type="cellIs" priority="3" operator="equal" aboveAverage="0" equalAverage="0" bottom="0" percent="0" rank="0" text="" dxfId="12">
      <formula>"Tier 2"</formula>
    </cfRule>
    <cfRule type="cellIs" priority="4" operator="equal" aboveAverage="0" equalAverage="0" bottom="0" percent="0" rank="0" text="" dxfId="13">
      <formula>"Tier 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32"/>
    <col collapsed="false" customWidth="true" hidden="false" outlineLevel="0" max="4" min="4" style="0" width="14"/>
    <col collapsed="false" customWidth="true" hidden="false" outlineLevel="0" max="5" min="5" style="0" width="38"/>
    <col collapsed="false" customWidth="true" hidden="false" outlineLevel="0" max="6" min="6" style="0" width="14"/>
    <col collapsed="false" customWidth="true" hidden="false" outlineLevel="0" max="7" min="7" style="0" width="38"/>
  </cols>
  <sheetData>
    <row r="1" customFormat="false" ht="17.35" hidden="false" customHeight="false" outlineLevel="0" collapsed="false">
      <c r="A1" s="6" t="s">
        <v>197</v>
      </c>
      <c r="B1" s="6"/>
      <c r="C1" s="6"/>
      <c r="D1" s="6"/>
      <c r="E1" s="6"/>
      <c r="F1" s="6"/>
      <c r="G1" s="6"/>
    </row>
    <row r="2" customFormat="false" ht="15" hidden="false" customHeight="false" outlineLevel="0" collapsed="false">
      <c r="A2" s="33" t="s">
        <v>198</v>
      </c>
      <c r="B2" s="33"/>
      <c r="C2" s="33"/>
      <c r="D2" s="33"/>
      <c r="E2" s="33"/>
      <c r="F2" s="33"/>
      <c r="G2" s="33"/>
    </row>
    <row r="4" customFormat="false" ht="26.85" hidden="false" customHeight="false" outlineLevel="0" collapsed="false">
      <c r="A4" s="20" t="s">
        <v>199</v>
      </c>
      <c r="B4" s="20" t="s">
        <v>200</v>
      </c>
      <c r="C4" s="20" t="s">
        <v>201</v>
      </c>
      <c r="D4" s="20" t="s">
        <v>202</v>
      </c>
      <c r="E4" s="20" t="s">
        <v>203</v>
      </c>
      <c r="F4" s="20" t="s">
        <v>204</v>
      </c>
      <c r="G4" s="20" t="s">
        <v>205</v>
      </c>
    </row>
    <row r="5" customFormat="false" ht="35.05" hidden="false" customHeight="false" outlineLevel="0" collapsed="false">
      <c r="A5" s="22" t="s">
        <v>89</v>
      </c>
      <c r="B5" s="28" t="n">
        <v>25</v>
      </c>
      <c r="C5" s="23" t="s">
        <v>206</v>
      </c>
      <c r="D5" s="27" t="n">
        <v>5</v>
      </c>
      <c r="E5" s="23" t="s">
        <v>207</v>
      </c>
      <c r="F5" s="27" t="n">
        <v>4</v>
      </c>
      <c r="G5" s="23" t="s">
        <v>208</v>
      </c>
    </row>
    <row r="6" customFormat="false" ht="35.05" hidden="false" customHeight="false" outlineLevel="0" collapsed="false">
      <c r="A6" s="22" t="s">
        <v>89</v>
      </c>
      <c r="B6" s="28" t="n">
        <v>25</v>
      </c>
      <c r="C6" s="23" t="s">
        <v>209</v>
      </c>
      <c r="D6" s="27" t="n">
        <v>5</v>
      </c>
      <c r="E6" s="23" t="s">
        <v>210</v>
      </c>
      <c r="F6" s="27" t="n">
        <v>3</v>
      </c>
      <c r="G6" s="23" t="s">
        <v>211</v>
      </c>
    </row>
    <row r="7" customFormat="false" ht="35.05" hidden="false" customHeight="false" outlineLevel="0" collapsed="false">
      <c r="A7" s="22" t="s">
        <v>89</v>
      </c>
      <c r="B7" s="28" t="n">
        <v>25</v>
      </c>
      <c r="C7" s="23" t="s">
        <v>212</v>
      </c>
      <c r="D7" s="27" t="n">
        <v>5</v>
      </c>
      <c r="E7" s="23" t="s">
        <v>213</v>
      </c>
      <c r="F7" s="27" t="n">
        <v>3</v>
      </c>
      <c r="G7" s="23" t="s">
        <v>214</v>
      </c>
    </row>
    <row r="8" customFormat="false" ht="35.05" hidden="false" customHeight="false" outlineLevel="0" collapsed="false">
      <c r="A8" s="22" t="s">
        <v>89</v>
      </c>
      <c r="B8" s="28" t="n">
        <v>25</v>
      </c>
      <c r="C8" s="23" t="s">
        <v>215</v>
      </c>
      <c r="D8" s="27" t="n">
        <v>4</v>
      </c>
      <c r="E8" s="23" t="s">
        <v>216</v>
      </c>
      <c r="F8" s="27" t="n">
        <v>3</v>
      </c>
      <c r="G8" s="23" t="s">
        <v>217</v>
      </c>
    </row>
    <row r="9" customFormat="false" ht="35.05" hidden="false" customHeight="false" outlineLevel="0" collapsed="false">
      <c r="A9" s="22" t="s">
        <v>91</v>
      </c>
      <c r="B9" s="28" t="n">
        <v>15</v>
      </c>
      <c r="C9" s="23" t="s">
        <v>218</v>
      </c>
      <c r="D9" s="27" t="n">
        <v>5</v>
      </c>
      <c r="E9" s="23" t="s">
        <v>219</v>
      </c>
      <c r="F9" s="27" t="n">
        <v>5</v>
      </c>
      <c r="G9" s="23" t="s">
        <v>220</v>
      </c>
    </row>
    <row r="10" customFormat="false" ht="23.85" hidden="false" customHeight="false" outlineLevel="0" collapsed="false">
      <c r="A10" s="22" t="s">
        <v>91</v>
      </c>
      <c r="B10" s="28" t="n">
        <v>15</v>
      </c>
      <c r="C10" s="23" t="s">
        <v>221</v>
      </c>
      <c r="D10" s="27" t="n">
        <v>5</v>
      </c>
      <c r="E10" s="23" t="s">
        <v>222</v>
      </c>
      <c r="F10" s="27" t="n">
        <v>2</v>
      </c>
      <c r="G10" s="23" t="s">
        <v>223</v>
      </c>
    </row>
    <row r="11" customFormat="false" ht="35.05" hidden="false" customHeight="false" outlineLevel="0" collapsed="false">
      <c r="A11" s="22" t="s">
        <v>91</v>
      </c>
      <c r="B11" s="28" t="n">
        <v>15</v>
      </c>
      <c r="C11" s="23" t="s">
        <v>224</v>
      </c>
      <c r="D11" s="27" t="n">
        <v>4</v>
      </c>
      <c r="E11" s="23" t="s">
        <v>225</v>
      </c>
      <c r="F11" s="27"/>
      <c r="G11" s="23" t="s">
        <v>226</v>
      </c>
    </row>
    <row r="12" customFormat="false" ht="35.05" hidden="false" customHeight="false" outlineLevel="0" collapsed="false">
      <c r="A12" s="22" t="s">
        <v>227</v>
      </c>
      <c r="B12" s="28" t="n">
        <v>15</v>
      </c>
      <c r="C12" s="23" t="s">
        <v>228</v>
      </c>
      <c r="D12" s="27" t="n">
        <v>5</v>
      </c>
      <c r="E12" s="23" t="s">
        <v>229</v>
      </c>
      <c r="F12" s="27" t="n">
        <v>3</v>
      </c>
      <c r="G12" s="23" t="s">
        <v>230</v>
      </c>
    </row>
    <row r="13" customFormat="false" ht="35.05" hidden="false" customHeight="false" outlineLevel="0" collapsed="false">
      <c r="A13" s="22" t="s">
        <v>227</v>
      </c>
      <c r="B13" s="28" t="n">
        <v>15</v>
      </c>
      <c r="C13" s="23" t="s">
        <v>231</v>
      </c>
      <c r="D13" s="27" t="n">
        <v>5</v>
      </c>
      <c r="E13" s="23" t="s">
        <v>232</v>
      </c>
      <c r="F13" s="27" t="n">
        <v>3</v>
      </c>
      <c r="G13" s="23" t="s">
        <v>233</v>
      </c>
    </row>
    <row r="14" customFormat="false" ht="35.05" hidden="false" customHeight="false" outlineLevel="0" collapsed="false">
      <c r="A14" s="22" t="s">
        <v>95</v>
      </c>
      <c r="B14" s="28" t="n">
        <v>15</v>
      </c>
      <c r="C14" s="23" t="s">
        <v>234</v>
      </c>
      <c r="D14" s="27" t="n">
        <v>5</v>
      </c>
      <c r="E14" s="23" t="s">
        <v>235</v>
      </c>
      <c r="F14" s="27" t="n">
        <v>3</v>
      </c>
      <c r="G14" s="23" t="s">
        <v>236</v>
      </c>
    </row>
    <row r="15" customFormat="false" ht="35.05" hidden="false" customHeight="false" outlineLevel="0" collapsed="false">
      <c r="A15" s="22" t="s">
        <v>95</v>
      </c>
      <c r="B15" s="28" t="n">
        <v>15</v>
      </c>
      <c r="C15" s="23" t="s">
        <v>237</v>
      </c>
      <c r="D15" s="27" t="n">
        <v>5</v>
      </c>
      <c r="E15" s="23" t="s">
        <v>238</v>
      </c>
      <c r="F15" s="27" t="n">
        <v>4</v>
      </c>
      <c r="G15" s="23" t="s">
        <v>239</v>
      </c>
    </row>
    <row r="16" customFormat="false" ht="35.05" hidden="false" customHeight="false" outlineLevel="0" collapsed="false">
      <c r="A16" s="22" t="s">
        <v>240</v>
      </c>
      <c r="B16" s="28" t="n">
        <v>10</v>
      </c>
      <c r="C16" s="23" t="s">
        <v>241</v>
      </c>
      <c r="D16" s="27" t="n">
        <v>4</v>
      </c>
      <c r="E16" s="23" t="s">
        <v>242</v>
      </c>
      <c r="F16" s="27" t="n">
        <v>3</v>
      </c>
      <c r="G16" s="23" t="s">
        <v>243</v>
      </c>
    </row>
    <row r="17" customFormat="false" ht="23.85" hidden="false" customHeight="false" outlineLevel="0" collapsed="false">
      <c r="A17" s="22" t="s">
        <v>240</v>
      </c>
      <c r="B17" s="28" t="n">
        <v>10</v>
      </c>
      <c r="C17" s="23" t="s">
        <v>244</v>
      </c>
      <c r="D17" s="27" t="n">
        <v>4</v>
      </c>
      <c r="E17" s="23" t="s">
        <v>245</v>
      </c>
      <c r="F17" s="27" t="n">
        <v>2</v>
      </c>
      <c r="G17" s="23" t="s">
        <v>246</v>
      </c>
    </row>
    <row r="18" customFormat="false" ht="35.05" hidden="false" customHeight="false" outlineLevel="0" collapsed="false">
      <c r="A18" s="22" t="s">
        <v>99</v>
      </c>
      <c r="B18" s="28" t="n">
        <v>10</v>
      </c>
      <c r="C18" s="23" t="s">
        <v>247</v>
      </c>
      <c r="D18" s="27" t="n">
        <v>5</v>
      </c>
      <c r="E18" s="23" t="s">
        <v>248</v>
      </c>
      <c r="F18" s="27" t="n">
        <v>3</v>
      </c>
      <c r="G18" s="23" t="s">
        <v>249</v>
      </c>
    </row>
    <row r="19" customFormat="false" ht="35.05" hidden="false" customHeight="false" outlineLevel="0" collapsed="false">
      <c r="A19" s="22" t="s">
        <v>99</v>
      </c>
      <c r="B19" s="28" t="n">
        <v>10</v>
      </c>
      <c r="C19" s="23" t="s">
        <v>250</v>
      </c>
      <c r="D19" s="27" t="n">
        <v>5</v>
      </c>
      <c r="E19" s="23" t="s">
        <v>251</v>
      </c>
      <c r="F19" s="27" t="n">
        <v>4</v>
      </c>
      <c r="G19" s="23" t="s">
        <v>252</v>
      </c>
    </row>
    <row r="20" customFormat="false" ht="35.05" hidden="false" customHeight="false" outlineLevel="0" collapsed="false">
      <c r="A20" s="22" t="s">
        <v>101</v>
      </c>
      <c r="B20" s="28" t="n">
        <v>10</v>
      </c>
      <c r="C20" s="23" t="s">
        <v>253</v>
      </c>
      <c r="D20" s="27" t="n">
        <v>5</v>
      </c>
      <c r="E20" s="23" t="s">
        <v>254</v>
      </c>
      <c r="F20" s="27" t="n">
        <v>3</v>
      </c>
      <c r="G20" s="23" t="s">
        <v>255</v>
      </c>
    </row>
    <row r="21" customFormat="false" ht="35.05" hidden="false" customHeight="false" outlineLevel="0" collapsed="false">
      <c r="A21" s="22" t="s">
        <v>101</v>
      </c>
      <c r="B21" s="28" t="n">
        <v>10</v>
      </c>
      <c r="C21" s="23" t="s">
        <v>256</v>
      </c>
      <c r="D21" s="27" t="n">
        <v>5</v>
      </c>
      <c r="E21" s="23" t="s">
        <v>257</v>
      </c>
      <c r="F21" s="27" t="n">
        <v>3</v>
      </c>
      <c r="G21" s="23" t="s">
        <v>258</v>
      </c>
    </row>
    <row r="23" customFormat="false" ht="15" hidden="false" customHeight="false" outlineLevel="0" collapsed="false">
      <c r="A23" s="18" t="s">
        <v>259</v>
      </c>
      <c r="B23" s="18"/>
      <c r="C23" s="18"/>
      <c r="D23" s="18"/>
      <c r="E23" s="18"/>
      <c r="F23" s="18"/>
      <c r="G23" s="18"/>
    </row>
    <row r="24" customFormat="false" ht="26.85" hidden="false" customHeight="false" outlineLevel="0" collapsed="false">
      <c r="A24" s="34" t="s">
        <v>199</v>
      </c>
      <c r="B24" s="34" t="s">
        <v>200</v>
      </c>
      <c r="C24" s="34" t="s">
        <v>260</v>
      </c>
      <c r="D24" s="34" t="s">
        <v>261</v>
      </c>
      <c r="E24" s="34" t="s">
        <v>262</v>
      </c>
      <c r="F24" s="34" t="s">
        <v>263</v>
      </c>
      <c r="G24" s="35"/>
    </row>
    <row r="25" customFormat="false" ht="23.85" hidden="false" customHeight="false" outlineLevel="0" collapsed="false">
      <c r="A25" s="23" t="s">
        <v>89</v>
      </c>
      <c r="B25" s="23" t="n">
        <v>25</v>
      </c>
      <c r="C25" s="36" t="n">
        <f aca="false">AVERAGE(D5:D8)</f>
        <v>4.75</v>
      </c>
      <c r="D25" s="36" t="n">
        <f aca="false">C25*B25/100</f>
        <v>1.1875</v>
      </c>
      <c r="E25" s="36" t="n">
        <f aca="false">AVERAGE(F5:F8)</f>
        <v>3.25</v>
      </c>
      <c r="F25" s="36" t="n">
        <f aca="false">E25*B25/100</f>
        <v>0.8125</v>
      </c>
    </row>
    <row r="26" customFormat="false" ht="23.85" hidden="false" customHeight="false" outlineLevel="0" collapsed="false">
      <c r="A26" s="23" t="s">
        <v>91</v>
      </c>
      <c r="B26" s="23" t="n">
        <v>15</v>
      </c>
      <c r="C26" s="36" t="n">
        <f aca="false">AVERAGE(D9:D11)</f>
        <v>4.66666666666667</v>
      </c>
      <c r="D26" s="36" t="n">
        <f aca="false">C26*B26/100</f>
        <v>0.7</v>
      </c>
      <c r="E26" s="36" t="n">
        <f aca="false">AVERAGE(F9:F11)</f>
        <v>3.5</v>
      </c>
      <c r="F26" s="36" t="n">
        <f aca="false">E26*B26/100</f>
        <v>0.525</v>
      </c>
    </row>
    <row r="27" customFormat="false" ht="15" hidden="false" customHeight="false" outlineLevel="0" collapsed="false">
      <c r="A27" s="23" t="s">
        <v>227</v>
      </c>
      <c r="B27" s="23" t="n">
        <v>15</v>
      </c>
      <c r="C27" s="36" t="n">
        <f aca="false">AVERAGE(D12:D13)</f>
        <v>5</v>
      </c>
      <c r="D27" s="36" t="n">
        <f aca="false">C27*B27/100</f>
        <v>0.75</v>
      </c>
      <c r="E27" s="36" t="n">
        <f aca="false">AVERAGE(F12:F13)</f>
        <v>3</v>
      </c>
      <c r="F27" s="36" t="n">
        <f aca="false">E27*B27/100</f>
        <v>0.45</v>
      </c>
    </row>
    <row r="28" customFormat="false" ht="23.85" hidden="false" customHeight="false" outlineLevel="0" collapsed="false">
      <c r="A28" s="23" t="s">
        <v>95</v>
      </c>
      <c r="B28" s="23" t="n">
        <v>15</v>
      </c>
      <c r="C28" s="36" t="n">
        <f aca="false">AVERAGE(D14:D15)</f>
        <v>5</v>
      </c>
      <c r="D28" s="36" t="n">
        <f aca="false">C28*B28/100</f>
        <v>0.75</v>
      </c>
      <c r="E28" s="36" t="n">
        <f aca="false">AVERAGE(F14:F15)</f>
        <v>3.5</v>
      </c>
      <c r="F28" s="36" t="n">
        <f aca="false">E28*B28/100</f>
        <v>0.525</v>
      </c>
    </row>
    <row r="29" customFormat="false" ht="23.85" hidden="false" customHeight="false" outlineLevel="0" collapsed="false">
      <c r="A29" s="23" t="s">
        <v>240</v>
      </c>
      <c r="B29" s="23" t="n">
        <v>10</v>
      </c>
      <c r="C29" s="36" t="n">
        <f aca="false">AVERAGE(D16:D17)</f>
        <v>4</v>
      </c>
      <c r="D29" s="36" t="n">
        <f aca="false">C29*B29/100</f>
        <v>0.4</v>
      </c>
      <c r="E29" s="36" t="n">
        <f aca="false">AVERAGE(F16:F17)</f>
        <v>2.5</v>
      </c>
      <c r="F29" s="36" t="n">
        <f aca="false">E29*B29/100</f>
        <v>0.25</v>
      </c>
    </row>
    <row r="30" customFormat="false" ht="23.85" hidden="false" customHeight="false" outlineLevel="0" collapsed="false">
      <c r="A30" s="23" t="s">
        <v>99</v>
      </c>
      <c r="B30" s="23" t="n">
        <v>10</v>
      </c>
      <c r="C30" s="36" t="n">
        <f aca="false">AVERAGE(D18:D19)</f>
        <v>5</v>
      </c>
      <c r="D30" s="36" t="n">
        <f aca="false">C30*B30/100</f>
        <v>0.5</v>
      </c>
      <c r="E30" s="36" t="n">
        <f aca="false">AVERAGE(F18:F19)</f>
        <v>3.5</v>
      </c>
      <c r="F30" s="36" t="n">
        <f aca="false">E30*B30/100</f>
        <v>0.35</v>
      </c>
    </row>
    <row r="31" customFormat="false" ht="15" hidden="false" customHeight="false" outlineLevel="0" collapsed="false">
      <c r="A31" s="23" t="s">
        <v>101</v>
      </c>
      <c r="B31" s="23" t="n">
        <v>10</v>
      </c>
      <c r="C31" s="36" t="n">
        <f aca="false">AVERAGE(D20:D21)</f>
        <v>5</v>
      </c>
      <c r="D31" s="36" t="n">
        <f aca="false">C31*B31/100</f>
        <v>0.5</v>
      </c>
      <c r="E31" s="36" t="n">
        <f aca="false">AVERAGE(F20:F21)</f>
        <v>3</v>
      </c>
      <c r="F31" s="36" t="n">
        <f aca="false">E31*B31/100</f>
        <v>0.3</v>
      </c>
    </row>
    <row r="32" customFormat="false" ht="15" hidden="false" customHeight="false" outlineLevel="0" collapsed="false">
      <c r="A32" s="37" t="s">
        <v>264</v>
      </c>
      <c r="B32" s="37"/>
      <c r="C32" s="37"/>
      <c r="D32" s="38" t="n">
        <f aca="false">SUM(D25:D31)</f>
        <v>4.7875</v>
      </c>
      <c r="E32" s="39"/>
      <c r="F32" s="38" t="n">
        <f aca="false">SUM(F25:F31)</f>
        <v>3.2125</v>
      </c>
    </row>
    <row r="33" customFormat="false" ht="35.05" hidden="false" customHeight="false" outlineLevel="0" collapsed="false">
      <c r="A33" s="40" t="s">
        <v>265</v>
      </c>
      <c r="B33" s="40"/>
      <c r="C33" s="40"/>
      <c r="D33" s="41" t="str">
        <f aca="false">IF(D32&gt;=4,"APPROVE",IF(D32&gt;=3,"APPROVE WITH CONDITIONS",IF(D32&gt;=2,"CONDITIONAL / REMEDIATE","REJECT")))</f>
        <v>APPROVE</v>
      </c>
      <c r="F33" s="41" t="str">
        <f aca="false">IF(F32&gt;=4,"APPROVE",IF(F32&gt;=3,"APPROVE WITH CONDITIONS",IF(F32&gt;=2,"CONDITIONAL / REMEDIATE","REJECT")))</f>
        <v>APPROVE WITH CONDITIONS</v>
      </c>
    </row>
  </sheetData>
  <mergeCells count="5">
    <mergeCell ref="A1:G1"/>
    <mergeCell ref="A2:G2"/>
    <mergeCell ref="A23:G23"/>
    <mergeCell ref="A32:C32"/>
    <mergeCell ref="A33:C33"/>
  </mergeCells>
  <conditionalFormatting sqref="D5:D21">
    <cfRule type="colorScale" priority="2">
      <colorScale>
        <cfvo type="num" val="1"/>
        <cfvo type="num" val="3"/>
        <cfvo type="num" val="5"/>
        <color rgb="FFF8696B"/>
        <color rgb="FFFFEB84"/>
        <color rgb="FF63BE7B"/>
      </colorScale>
    </cfRule>
  </conditionalFormatting>
  <conditionalFormatting sqref="F5:F21">
    <cfRule type="colorScale" priority="3">
      <colorScale>
        <cfvo type="num" val="1"/>
        <cfvo type="num" val="3"/>
        <cfvo type="num" val="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2026-05-07T15:24:41Z</dcterms:created>
  <dc:creator>openpyxl</dc:creator>
  <dc:description/>
  <dc:language>en-US</dc:language>
  <cp:lastModifiedBy/>
  <dcterms:modified xsi:type="dcterms:W3CDTF">2026-05-07T15:24:46Z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