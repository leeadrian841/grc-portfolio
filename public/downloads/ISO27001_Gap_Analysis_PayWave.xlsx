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Gap Analysis" sheetId="3" state="visible" r:id="rId5"/>
    <sheet name="Statement of Applicability" sheetId="4" state="visible" r:id="rId6"/>
    <sheet name="Risk Register" sheetId="5" state="visible" r:id="rId7"/>
  </sheets>
  <definedNames>
    <definedName function="false" hidden="true" localSheetId="2" name="_xlnm._FilterDatabase" vbProcedure="false">'Gap Analysis'!$A$3:$J$30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<sst xmlns="http://schemas.openxmlformats.org/spreadsheetml/2006/main" count="570" uniqueCount="342">
  <si>
    <t xml:space="preserve">ISO 27001:2022 Gap Analysis Report</t>
  </si>
  <si>
    <t xml:space="preserve">Organisation:</t>
  </si>
  <si>
    <t xml:space="preserve">PayWave Solutions Pte. Ltd.</t>
  </si>
  <si>
    <t xml:space="preserve">Industry:</t>
  </si>
  <si>
    <t xml:space="preserve">Financial Technology — Digital Payments</t>
  </si>
  <si>
    <t xml:space="preserve">Headquarters:</t>
  </si>
  <si>
    <t xml:space="preserve">Singapore (One-North Business Park)</t>
  </si>
  <si>
    <t xml:space="preserve">Employees:</t>
  </si>
  <si>
    <t xml:space="preserve">~120 (80 engineering, 40 corporate)</t>
  </si>
  <si>
    <t xml:space="preserve">Scope:</t>
  </si>
  <si>
    <t xml:space="preserve">Digital payment processing platform, mobile app, merchant portal, and supporting IT infrastructure</t>
  </si>
  <si>
    <t xml:space="preserve">Regulatory Context:</t>
  </si>
  <si>
    <t xml:space="preserve">MAS TRM Guidelines, PDPA, PCI DSS</t>
  </si>
  <si>
    <t xml:space="preserve">Assessment Date:</t>
  </si>
  <si>
    <t xml:space="preserve">15 March 2026</t>
  </si>
  <si>
    <t xml:space="preserve">Assessor:</t>
  </si>
  <si>
    <t xml:space="preserve">[Your Name], GRC Analyst</t>
  </si>
  <si>
    <t xml:space="preserve">Report Version:</t>
  </si>
  <si>
    <t xml:space="preserve">1.0</t>
  </si>
  <si>
    <t xml:space="preserve">Classification:</t>
  </si>
  <si>
    <t xml:space="preserve">CONFIDENTIAL</t>
  </si>
  <si>
    <t xml:space="preserve">DISCLAIMER: This is a fictitious gap analysis created for portfolio demonstration purposes. PayWave Solutions Pte. Ltd. is a fictional company. All findings, risks, and recommendations are illustrative.</t>
  </si>
  <si>
    <t xml:space="preserve">Gap Analysis Executive Summary — PayWave Solutions Pte. Ltd.</t>
  </si>
  <si>
    <t xml:space="preserve">Total Controls Assessed</t>
  </si>
  <si>
    <t xml:space="preserve">Implemented</t>
  </si>
  <si>
    <t xml:space="preserve">Partially Implemented</t>
  </si>
  <si>
    <t xml:space="preserve">Not Implemented</t>
  </si>
  <si>
    <t xml:space="preserve">Average Maturity Score</t>
  </si>
  <si>
    <t xml:space="preserve">Risk Distribution</t>
  </si>
  <si>
    <t xml:space="preserve">Priority Distribution</t>
  </si>
  <si>
    <t xml:space="preserve">Implementation Status</t>
  </si>
  <si>
    <t xml:space="preserve">Rating</t>
  </si>
  <si>
    <t xml:space="preserve">Count</t>
  </si>
  <si>
    <t xml:space="preserve">Priority</t>
  </si>
  <si>
    <t xml:space="preserve">Status</t>
  </si>
  <si>
    <t xml:space="preserve">Critical</t>
  </si>
  <si>
    <t xml:space="preserve">P1</t>
  </si>
  <si>
    <t xml:space="preserve">High</t>
  </si>
  <si>
    <t xml:space="preserve">P2</t>
  </si>
  <si>
    <t xml:space="preserve">Medium</t>
  </si>
  <si>
    <t xml:space="preserve">P3</t>
  </si>
  <si>
    <t xml:space="preserve">Low</t>
  </si>
  <si>
    <t xml:space="preserve">ISO 27001:2022 Annex A — Gap Analysis: PayWave Solutions Pte. Ltd.</t>
  </si>
  <si>
    <t xml:space="preserve">Control ID</t>
  </si>
  <si>
    <t xml:space="preserve">Control Name</t>
  </si>
  <si>
    <t xml:space="preserve">Control Description</t>
  </si>
  <si>
    <t xml:space="preserve">Maturity (1-5)</t>
  </si>
  <si>
    <t xml:space="preserve">Current Evidence / Notes</t>
  </si>
  <si>
    <t xml:space="preserve">Gap Identified</t>
  </si>
  <si>
    <t xml:space="preserve">Risk Rating</t>
  </si>
  <si>
    <t xml:space="preserve">Remediation Action</t>
  </si>
  <si>
    <t xml:space="preserve">A.5.1</t>
  </si>
  <si>
    <t xml:space="preserve">Policies for information security</t>
  </si>
  <si>
    <t xml:space="preserve">Management direction for information security shall be established.</t>
  </si>
  <si>
    <t xml:space="preserve">InfoSec policy exists but last reviewed in 2023. No formal review cadence. Policy not communicated to all staff.</t>
  </si>
  <si>
    <t xml:space="preserve">Policy outdated (&gt;12 months). No evidence of annual review. Missing acceptable use policy.</t>
  </si>
  <si>
    <t xml:space="preserve">Update InfoSec policy. Establish annual review cycle. Create AUP. Distribute via all-hands and obtain sign-off.</t>
  </si>
  <si>
    <t xml:space="preserve">A.5.2</t>
  </si>
  <si>
    <t xml:space="preserve">Information security roles and responsibilities</t>
  </si>
  <si>
    <t xml:space="preserve">Information security roles and responsibilities shall be defined and allocated.</t>
  </si>
  <si>
    <t xml:space="preserve">CISO reports to CTO. No formal RACI for security responsibilities across departments.</t>
  </si>
  <si>
    <t xml:space="preserve">No documented RACI matrix. Security responsibilities not in job descriptions for non-security staff.</t>
  </si>
  <si>
    <t xml:space="preserve">Create RACI matrix for security roles. Update job descriptions. Define security champions in each team.</t>
  </si>
  <si>
    <t xml:space="preserve">A.5.3</t>
  </si>
  <si>
    <t xml:space="preserve">Segregation of duties</t>
  </si>
  <si>
    <t xml:space="preserve">Conflicting duties and areas of responsibility shall be segregated.</t>
  </si>
  <si>
    <t xml:space="preserve">Segregation exists for payment processing (PCI requirement). Dev team has prod access.</t>
  </si>
  <si>
    <t xml:space="preserve">Developers retain production database access. No formal SoD matrix beyond PCI scope.</t>
  </si>
  <si>
    <t xml:space="preserve">Remove dev prod access. Implement break-glass procedure. Extend SoD matrix to all critical systems.</t>
  </si>
  <si>
    <t xml:space="preserve">A.5.4</t>
  </si>
  <si>
    <t xml:space="preserve">Management responsibilities</t>
  </si>
  <si>
    <t xml:space="preserve">Management shall require all personnel to apply information security.</t>
  </si>
  <si>
    <t xml:space="preserve">Annual security training mandated. Management signs off on security objectives quarterly.</t>
  </si>
  <si>
    <t xml:space="preserve">Training completion tracking is manual (spreadsheet). No consequence for non-completion.</t>
  </si>
  <si>
    <t xml:space="preserve">Automate training tracking via LMS. Define escalation process for non-completion.</t>
  </si>
  <si>
    <t xml:space="preserve">A.5.5</t>
  </si>
  <si>
    <t xml:space="preserve">Contact with authorities</t>
  </si>
  <si>
    <t xml:space="preserve">Appropriate contacts with relevant authorities shall be maintained.</t>
  </si>
  <si>
    <t xml:space="preserve">No documented contact list for MAS, CSA Singapore, or PDPC.</t>
  </si>
  <si>
    <t xml:space="preserve">No authority contact register. No defined process for mandatory breach notification under PDPA.</t>
  </si>
  <si>
    <t xml:space="preserve">Create authority contact register (MAS, CSA, PDPC, SPF). Document PDPA 72-hour breach notification process.</t>
  </si>
  <si>
    <t xml:space="preserve">A.5.8</t>
  </si>
  <si>
    <t xml:space="preserve">Information security in project management</t>
  </si>
  <si>
    <t xml:space="preserve">Information security shall be integrated into project management.</t>
  </si>
  <si>
    <t xml:space="preserve">Security reviews done ad-hoc for major releases. No formal security gate in SDLC.</t>
  </si>
  <si>
    <t xml:space="preserve">No security requirements checklist in project initiation. No threat modelling in design phase.</t>
  </si>
  <si>
    <t xml:space="preserve">Add security gate to SDLC. Create security requirements checklist. Mandate threat modelling for new features.</t>
  </si>
  <si>
    <t xml:space="preserve">A.5.10</t>
  </si>
  <si>
    <t xml:space="preserve">Acceptable use of information and assets</t>
  </si>
  <si>
    <t xml:space="preserve">Rules for the acceptable use of information and other associated assets shall be identified.</t>
  </si>
  <si>
    <t xml:space="preserve">No formal AUP document. Verbal guidance only during onboarding.</t>
  </si>
  <si>
    <t xml:space="preserve">No AUP. No BYOD policy. No rules on use of personal cloud storage.</t>
  </si>
  <si>
    <t xml:space="preserve">Draft and publish AUP covering devices, cloud storage, and data handling. Include in onboarding.</t>
  </si>
  <si>
    <t xml:space="preserve">A.5.12</t>
  </si>
  <si>
    <t xml:space="preserve">Classification of information</t>
  </si>
  <si>
    <t xml:space="preserve">Information shall be classified according to the information security needs.</t>
  </si>
  <si>
    <t xml:space="preserve">Informal classification (public/internal/confidential). No labelling standard.</t>
  </si>
  <si>
    <t xml:space="preserve">No formal classification scheme. No data labelling on documents or emails. PII handling inconsistent.</t>
  </si>
  <si>
    <t xml:space="preserve">Define 4-tier classification scheme. Implement document labelling. Map PII data flows.</t>
  </si>
  <si>
    <t xml:space="preserve">A.5.15</t>
  </si>
  <si>
    <t xml:space="preserve">Access control</t>
  </si>
  <si>
    <t xml:space="preserve">Rules to control physical and logical access to information shall be established.</t>
  </si>
  <si>
    <t xml:space="preserve">RBAC implemented on payment platform. Office 365 access reviews done annually.</t>
  </si>
  <si>
    <t xml:space="preserve">No access review for AWS IAM roles. Service account passwords not rotated. No PAM solution.</t>
  </si>
  <si>
    <t xml:space="preserve">Implement quarterly access reviews for AWS. Deploy PAM for privileged accounts. Rotate service account credentials.</t>
  </si>
  <si>
    <t xml:space="preserve">A.5.23</t>
  </si>
  <si>
    <t xml:space="preserve">Information security for use of cloud services</t>
  </si>
  <si>
    <t xml:space="preserve">Processes for acquisition, use, management and exit from cloud services shall be established.</t>
  </si>
  <si>
    <t xml:space="preserve">AWS is primary cloud provider. Basic tagging in place. No cloud security posture management.</t>
  </si>
  <si>
    <t xml:space="preserve">No formal cloud security policy. No CSPM tool. No documented exit strategy. Shared responsibility model not documented.</t>
  </si>
  <si>
    <t xml:space="preserve">Draft cloud security policy. Implement CSPM (e.g., Prowler). Document shared responsibility matrix and exit plan.</t>
  </si>
  <si>
    <t xml:space="preserve">A.5.24</t>
  </si>
  <si>
    <t xml:space="preserve">Information security incident management planning</t>
  </si>
  <si>
    <t xml:space="preserve">The organisation shall plan and prepare for managing information security incidents.</t>
  </si>
  <si>
    <t xml:space="preserve">Incident response playbook exists for payment fraud. No IR plan for broader security incidents.</t>
  </si>
  <si>
    <t xml:space="preserve">IR plan limited to fraud scenarios. No tabletop exercises conducted. No defined CSIRT team.</t>
  </si>
  <si>
    <t xml:space="preserve">Expand IR plan to cover ransomware, data breach, DDoS. Form CSIRT. Schedule quarterly tabletop exercises.</t>
  </si>
  <si>
    <t xml:space="preserve">A.5.29</t>
  </si>
  <si>
    <t xml:space="preserve">Information security during disruption</t>
  </si>
  <si>
    <t xml:space="preserve">The organisation shall plan how to maintain information security during disruption.</t>
  </si>
  <si>
    <t xml:space="preserve">BCP exists for payment processing (MAS requirement). DR tested annually.</t>
  </si>
  <si>
    <t xml:space="preserve">BCP does not cover corporate IT systems. DR test scope limited to payment engine only.</t>
  </si>
  <si>
    <t xml:space="preserve">Extend BCP to corporate IT. Expand DR testing to include all critical systems. Document RTO/RPO for each system.</t>
  </si>
  <si>
    <t xml:space="preserve">A.6.1</t>
  </si>
  <si>
    <t xml:space="preserve">Screening</t>
  </si>
  <si>
    <t xml:space="preserve">Background verification checks on candidates shall be carried out.</t>
  </si>
  <si>
    <t xml:space="preserve">Background checks via third-party vendor for all hires. MAS fit-and-proper for senior roles.</t>
  </si>
  <si>
    <t xml:space="preserve">No periodic re-screening for existing staff in high-risk roles.</t>
  </si>
  <si>
    <t xml:space="preserve">Implement 3-yearly re-screening for staff with privileged access or access to payment systems.</t>
  </si>
  <si>
    <t xml:space="preserve">A.6.2</t>
  </si>
  <si>
    <t xml:space="preserve">Terms and conditions of employment</t>
  </si>
  <si>
    <t xml:space="preserve">Employment agreements shall state responsibilities for information security.</t>
  </si>
  <si>
    <t xml:space="preserve">NDAs and security clauses in all employment contracts. Contractor agreements include data protection.</t>
  </si>
  <si>
    <t xml:space="preserve">No specific clause on post-employment obligations for data handling.</t>
  </si>
  <si>
    <t xml:space="preserve">Add post-employment data return and deletion clause to contracts.</t>
  </si>
  <si>
    <t xml:space="preserve">A.6.3</t>
  </si>
  <si>
    <t xml:space="preserve">Information security awareness, education and training</t>
  </si>
  <si>
    <t xml:space="preserve">Organisation personnel shall receive appropriate awareness and training.</t>
  </si>
  <si>
    <t xml:space="preserve">Annual phishing simulation. Generic security awareness video during onboarding.</t>
  </si>
  <si>
    <t xml:space="preserve">No role-based training (devs vs finance vs ops). No secure coding training for engineers. No metrics on effectiveness.</t>
  </si>
  <si>
    <t xml:space="preserve">Implement role-based security training program. Add secure coding module for engineers. Track completion and quiz scores.</t>
  </si>
  <si>
    <t xml:space="preserve">A.6.5</t>
  </si>
  <si>
    <t xml:space="preserve">Responsibilities after termination or change of employment</t>
  </si>
  <si>
    <t xml:space="preserve">Information security responsibilities that remain valid after termination shall be defined.</t>
  </si>
  <si>
    <t xml:space="preserve">Exit checklist includes laptop return and badge deactivation. AD account disabled on last day.</t>
  </si>
  <si>
    <t xml:space="preserve">No process for revoking SaaS application access (Slack, Jira, Figma). No NDA reminder at exit.</t>
  </si>
  <si>
    <t xml:space="preserve">Add SaaS access revocation to offboarding checklist. Send NDA reminder email on last day.</t>
  </si>
  <si>
    <t xml:space="preserve">A.7.1</t>
  </si>
  <si>
    <t xml:space="preserve">Physical security perimeters</t>
  </si>
  <si>
    <t xml:space="preserve">Security perimeters shall be defined and used to protect areas with information.</t>
  </si>
  <si>
    <t xml:space="preserve">Office in grade-A building with lobby security. Server room with biometric access.</t>
  </si>
  <si>
    <t xml:space="preserve">No visitor escort policy for sensitive areas. Tailgating observed at main entrance.</t>
  </si>
  <si>
    <t xml:space="preserve">Implement visitor escort policy. Install anti-tailgating turnstile at main entrance.</t>
  </si>
  <si>
    <t xml:space="preserve">A.7.4</t>
  </si>
  <si>
    <t xml:space="preserve">Physical security monitoring</t>
  </si>
  <si>
    <t xml:space="preserve">Premises shall be continuously monitored for unauthorised physical access.</t>
  </si>
  <si>
    <t xml:space="preserve">CCTV in server room and reception. 30-day retention.</t>
  </si>
  <si>
    <t xml:space="preserve">No CCTV coverage in open office areas near whiteboards. No automated alerting on after-hours access.</t>
  </si>
  <si>
    <t xml:space="preserve">Extend CCTV to all sensitive areas. Configure alerts for after-hours badge access to server room.</t>
  </si>
  <si>
    <t xml:space="preserve">A.8.1</t>
  </si>
  <si>
    <t xml:space="preserve">User endpoint devices</t>
  </si>
  <si>
    <t xml:space="preserve">Information stored on, processed by or accessible via user endpoint devices shall be protected.</t>
  </si>
  <si>
    <t xml:space="preserve">Company laptops with full disk encryption (BitLocker/FileVault). MDM for mobile devices.</t>
  </si>
  <si>
    <t xml:space="preserve">No DLP agent on endpoints. USB ports not restricted. BYOD phones access corporate email without MDM.</t>
  </si>
  <si>
    <t xml:space="preserve">Deploy endpoint DLP. Disable USB storage devices via GPO. Enforce MDM enrolment for all BYOD devices.</t>
  </si>
  <si>
    <t xml:space="preserve">A.8.5</t>
  </si>
  <si>
    <t xml:space="preserve">Secure authentication</t>
  </si>
  <si>
    <t xml:space="preserve">Secure authentication technologies and procedures shall be established.</t>
  </si>
  <si>
    <t xml:space="preserve">MFA enabled for AWS console and VPN. SSO via Okta for major SaaS apps.</t>
  </si>
  <si>
    <t xml:space="preserve">MFA not enforced for all SaaS applications. No passwordless option. Legacy service accounts use static passwords.</t>
  </si>
  <si>
    <t xml:space="preserve">Enforce MFA across all SaaS apps via Okta. Implement FIDO2 keys for privileged users. Rotate legacy service account credentials.</t>
  </si>
  <si>
    <t xml:space="preserve">A.8.8</t>
  </si>
  <si>
    <t xml:space="preserve">Management of technical vulnerabilities</t>
  </si>
  <si>
    <t xml:space="preserve">Information about technical vulnerabilities shall be obtained and appropriate action taken.</t>
  </si>
  <si>
    <t xml:space="preserve">Quarterly penetration testing by third party. Snyk for code dependencies.</t>
  </si>
  <si>
    <t xml:space="preserve">No continuous vulnerability scanning for infrastructure. No SLA for patch remediation. No vulnerability register.</t>
  </si>
  <si>
    <t xml:space="preserve">Deploy continuous vuln scanner (e.g., Qualys). Define patch SLAs (critical: 48h, high: 7d). Maintain vulnerability register.</t>
  </si>
  <si>
    <t xml:space="preserve">A.8.9</t>
  </si>
  <si>
    <t xml:space="preserve">Configuration management</t>
  </si>
  <si>
    <t xml:space="preserve">Configurations, including security configurations, of hardware, software, services and networks shall be established.</t>
  </si>
  <si>
    <t xml:space="preserve">No baseline security configurations documented. AWS resources deployed ad-hoc by dev teams.</t>
  </si>
  <si>
    <t xml:space="preserve">No hardening baselines (CIS benchmarks). No configuration drift detection. IaC not enforced.</t>
  </si>
  <si>
    <t xml:space="preserve">Adopt CIS benchmarks for OS/cloud. Implement IaC (Terraform) with security guardrails. Deploy config drift detection.</t>
  </si>
  <si>
    <t xml:space="preserve">A.8.15</t>
  </si>
  <si>
    <t xml:space="preserve">Logging</t>
  </si>
  <si>
    <t xml:space="preserve">Logs that record activities, exceptions, faults and other relevant events shall be produced and stored.</t>
  </si>
  <si>
    <t xml:space="preserve">CloudTrail enabled for AWS. Application logs in CloudWatch. Centralised logging via ELK stack.</t>
  </si>
  <si>
    <t xml:space="preserve">No SIEM for correlation and alerting. Log retention only 14 days (PDPA requires longer). No log integrity controls.</t>
  </si>
  <si>
    <t xml:space="preserve">Deploy SIEM (e.g., Sentinel, Splunk). Extend log retention to 12 months. Implement log integrity verification (hashing).</t>
  </si>
  <si>
    <t xml:space="preserve">A.8.16</t>
  </si>
  <si>
    <t xml:space="preserve">Monitoring activities</t>
  </si>
  <si>
    <t xml:space="preserve">Networks, systems and applications shall be monitored for anomalous behaviour.</t>
  </si>
  <si>
    <t xml:space="preserve">Basic CloudWatch alarms for CPU/memory. No behavioural monitoring.</t>
  </si>
  <si>
    <t xml:space="preserve">No EDR on endpoints. No network traffic analysis. No user behaviour analytics (UBA).</t>
  </si>
  <si>
    <t xml:space="preserve">Deploy EDR (e.g., CrowdStrike). Implement network monitoring. Evaluate UBA for insider threat detection.</t>
  </si>
  <si>
    <t xml:space="preserve">A.8.24</t>
  </si>
  <si>
    <t xml:space="preserve">Use of cryptography</t>
  </si>
  <si>
    <t xml:space="preserve">Rules for the effective use of cryptography shall be defined and implemented.</t>
  </si>
  <si>
    <t xml:space="preserve">TLS 1.2+ for all external connections. AES-256 for payment data at rest. AWS KMS for key management.</t>
  </si>
  <si>
    <t xml:space="preserve">No cryptography policy document. Key rotation schedule not formalised. No certificate lifecycle management.</t>
  </si>
  <si>
    <t xml:space="preserve">Document cryptography policy. Define key rotation schedule in KMS. Deploy certificate management tool (e.g., Venafi).</t>
  </si>
  <si>
    <t xml:space="preserve">A.8.25</t>
  </si>
  <si>
    <t xml:space="preserve">Secure development life cycle</t>
  </si>
  <si>
    <t xml:space="preserve">Rules for the secure development of software and systems shall be established.</t>
  </si>
  <si>
    <t xml:space="preserve">Code reviews required for PRs. Snyk for dependency scanning.</t>
  </si>
  <si>
    <t xml:space="preserve">No SAST/DAST tools in CI/CD pipeline. No secure coding guidelines document. No security champion program.</t>
  </si>
  <si>
    <t xml:space="preserve">Integrate SAST (SonarQube) and DAST (OWASP ZAP) into CI/CD. Publish secure coding guidelines. Appoint security champions per squad.</t>
  </si>
  <si>
    <t xml:space="preserve">A.8.28</t>
  </si>
  <si>
    <t xml:space="preserve">Secure coding</t>
  </si>
  <si>
    <t xml:space="preserve">Secure coding principles shall be applied to software development.</t>
  </si>
  <si>
    <t xml:space="preserve">OWASP Top 10 awareness among senior devs. Input validation inconsistent.</t>
  </si>
  <si>
    <t xml:space="preserve">No secure coding standard document. No mandatory secure coding training. No code security metrics.</t>
  </si>
  <si>
    <t xml:space="preserve">Publish secure coding standard (based on OWASP). Mandate training for all engineers. Track security defect density.</t>
  </si>
  <si>
    <t xml:space="preserve">Statement of Applicability (SoA) — PayWave Solutions Pte. Ltd.</t>
  </si>
  <si>
    <t xml:space="preserve">ISO 27001:2022 | Version 1.0 | Date: 15 March 2026 | Approved by: [CISO Name]</t>
  </si>
  <si>
    <t xml:space="preserve">Applicable?</t>
  </si>
  <si>
    <t xml:space="preserve">Justification for Inclusion / Exclusion</t>
  </si>
  <si>
    <t xml:space="preserve">Evidence Reference</t>
  </si>
  <si>
    <t xml:space="preserve">Yes</t>
  </si>
  <si>
    <t xml:space="preserve">Required: Core governance control. MAS TRM mandates documented InfoSec policies for all licensed payment institutions.</t>
  </si>
  <si>
    <t xml:space="preserve">POL-001 InfoSec Policy (v2.1, 2023)</t>
  </si>
  <si>
    <t xml:space="preserve">Required: Organisational clarity on security ownership is fundamental to ISMS operation.</t>
  </si>
  <si>
    <t xml:space="preserve">ORG-001 Org Chart; JD-SEC-001</t>
  </si>
  <si>
    <t xml:space="preserve">Required: Critical for payment processing integrity. PCI DSS Req 6.4 and MAS TRM Para 9.2.</t>
  </si>
  <si>
    <t xml:space="preserve">PCI-SoD-Matrix-2025.xlsx</t>
  </si>
  <si>
    <t xml:space="preserve">Required: Management commitment is an ISMS prerequisite. MAS TRM Para 3.1.</t>
  </si>
  <si>
    <t xml:space="preserve">Training records; Quarterly sign-off emails</t>
  </si>
  <si>
    <t xml:space="preserve">Required: PDPA mandates 72-hour breach notification to PDPC. MAS requires reporting to MAS.</t>
  </si>
  <si>
    <t xml:space="preserve">None — to be created</t>
  </si>
  <si>
    <t xml:space="preserve">Required: Agile development model requires security integration at sprint level.</t>
  </si>
  <si>
    <t xml:space="preserve">SDLC-v1.2 (no security gates)</t>
  </si>
  <si>
    <t xml:space="preserve">Required: BYOD prevalent among staff. Cloud storage usage uncontrolled.</t>
  </si>
  <si>
    <t xml:space="preserve">Required: Handles PII (PDPA), payment card data (PCI DSS), and financial transaction data.</t>
  </si>
  <si>
    <t xml:space="preserve">Informal scheme in onboarding deck</t>
  </si>
  <si>
    <t xml:space="preserve">Required: Core technical and administrative control. MAS TRM Para 9.1, PCI DSS Req 7-8.</t>
  </si>
  <si>
    <t xml:space="preserve">RBAC config in payment platform; O365 access review logs</t>
  </si>
  <si>
    <t xml:space="preserve">Information security for cloud services</t>
  </si>
  <si>
    <t xml:space="preserve">Required: Entire platform runs on AWS. Cloud security posture is critical.</t>
  </si>
  <si>
    <t xml:space="preserve">AWS account setup docs; basic tagging policy</t>
  </si>
  <si>
    <t xml:space="preserve">Incident management planning</t>
  </si>
  <si>
    <t xml:space="preserve">Required: MAS TRM Para 7.5 mandates incident management. PDPA requires breach notification.</t>
  </si>
  <si>
    <t xml:space="preserve">IR-PLAYBOOK-FRAUD-v1.0</t>
  </si>
  <si>
    <t xml:space="preserve">Required: MAS TRM Para 8 mandates business continuity for licensed payment institutions.</t>
  </si>
  <si>
    <t xml:space="preserve">BCP-PAYMENTS-2025; DR test report</t>
  </si>
  <si>
    <t xml:space="preserve">Required: MAS fit-and-proper requirements for key personnel. Industry best practice.</t>
  </si>
  <si>
    <t xml:space="preserve">HR screening records; vendor contract</t>
  </si>
  <si>
    <t xml:space="preserve">Required: Legal basis for enforcing security obligations on employees.</t>
  </si>
  <si>
    <t xml:space="preserve">Employment contract template; NDA template</t>
  </si>
  <si>
    <t xml:space="preserve">Information security awareness and training</t>
  </si>
  <si>
    <t xml:space="preserve">Required: MAS TRM Para 3.3 mandates security awareness. PDPA requires data protection training.</t>
  </si>
  <si>
    <t xml:space="preserve">Phishing sim results; onboarding video</t>
  </si>
  <si>
    <t xml:space="preserve">Responsibilities after termination</t>
  </si>
  <si>
    <t xml:space="preserve">Required: Prevent data exfiltration by departing staff. PDPA data protection obligations.</t>
  </si>
  <si>
    <t xml:space="preserve">Offboarding checklist (incomplete for SaaS)</t>
  </si>
  <si>
    <t xml:space="preserve">Required: Server room contains network equipment and backup tapes.</t>
  </si>
  <si>
    <t xml:space="preserve">Building security contract; biometric access logs</t>
  </si>
  <si>
    <t xml:space="preserve">Required: Supplement to access control. Insurance requirement.</t>
  </si>
  <si>
    <t xml:space="preserve">CCTV system spec; 30-day retention policy</t>
  </si>
  <si>
    <t xml:space="preserve">Required: Remote work policy allows WFH. Endpoints access payment data.</t>
  </si>
  <si>
    <t xml:space="preserve">MDM policy; BitLocker deployment report</t>
  </si>
  <si>
    <t xml:space="preserve">Required: MFA is mandatory under MAS TRM for privileged and remote access.</t>
  </si>
  <si>
    <t xml:space="preserve">Okta SSO config; MFA enrollment report</t>
  </si>
  <si>
    <t xml:space="preserve">Required: PCI DSS Req 6.1 mandates vulnerability management. MAS TRM Para 9.4.</t>
  </si>
  <si>
    <t xml:space="preserve">Pentest reports; Snyk dashboard</t>
  </si>
  <si>
    <t xml:space="preserve">Required: Foundation for repeatable, secure infrastructure. CIS benchmarks applicable.</t>
  </si>
  <si>
    <t xml:space="preserve">Required: MAS TRM Para 9.3 requires audit trail. PCI DSS Req 10.</t>
  </si>
  <si>
    <t xml:space="preserve">CloudTrail config; ELK stack docs</t>
  </si>
  <si>
    <t xml:space="preserve">Required: Active monitoring required for early threat detection. MAS TRM Para 9.4.</t>
  </si>
  <si>
    <t xml:space="preserve">Required: PCI DSS Req 3-4 mandates encryption of card data in transit and at rest.</t>
  </si>
  <si>
    <t xml:space="preserve">TLS config; KMS key inventory</t>
  </si>
  <si>
    <t xml:space="preserve">Required: PCI DSS Req 6, MAS TRM Para 6.3 require secure SDLC.</t>
  </si>
  <si>
    <t xml:space="preserve">PR review policy; Snyk integration</t>
  </si>
  <si>
    <t xml:space="preserve">Required: Part of secure SDLC obligation. OWASP Top 10 applicability confirmed.</t>
  </si>
  <si>
    <t xml:space="preserve">OWASP awareness deck (informal)</t>
  </si>
  <si>
    <t xml:space="preserve">Cyber Risk Register — PayWave Solutions Pte. Ltd.</t>
  </si>
  <si>
    <t xml:space="preserve">Risk ID</t>
  </si>
  <si>
    <t xml:space="preserve">Related Control</t>
  </si>
  <si>
    <t xml:space="preserve">Risk Description</t>
  </si>
  <si>
    <t xml:space="preserve">Threat Source</t>
  </si>
  <si>
    <t xml:space="preserve">Likelihood (1-5)</t>
  </si>
  <si>
    <t xml:space="preserve">Impact (1-5)</t>
  </si>
  <si>
    <t xml:space="preserve">Inherent Risk Score</t>
  </si>
  <si>
    <t xml:space="preserve">Existing Controls</t>
  </si>
  <si>
    <t xml:space="preserve">Residual Likelihood</t>
  </si>
  <si>
    <t xml:space="preserve">Residual Impact</t>
  </si>
  <si>
    <t xml:space="preserve">Residual Risk Score</t>
  </si>
  <si>
    <t xml:space="preserve">Risk Owner</t>
  </si>
  <si>
    <t xml:space="preserve">Treatment Decision</t>
  </si>
  <si>
    <t xml:space="preserve">R-001</t>
  </si>
  <si>
    <t xml:space="preserve">Unauthorised access to production database by developers leading to data breach</t>
  </si>
  <si>
    <t xml:space="preserve">Insider (developer)</t>
  </si>
  <si>
    <t xml:space="preserve">PCI segregation for card data only</t>
  </si>
  <si>
    <t xml:space="preserve">CTO</t>
  </si>
  <si>
    <t xml:space="preserve">Mitigate</t>
  </si>
  <si>
    <t xml:space="preserve">R-002</t>
  </si>
  <si>
    <t xml:space="preserve">Ransomware attack on corporate network with no broad IR plan</t>
  </si>
  <si>
    <t xml:space="preserve">External threat actor</t>
  </si>
  <si>
    <t xml:space="preserve">Fraud-specific IR playbook only</t>
  </si>
  <si>
    <t xml:space="preserve">CISO</t>
  </si>
  <si>
    <t xml:space="preserve">R-003</t>
  </si>
  <si>
    <t xml:space="preserve">Cloud misconfiguration exposing customer PII via public S3 bucket</t>
  </si>
  <si>
    <t xml:space="preserve">Human error</t>
  </si>
  <si>
    <t xml:space="preserve">Basic AWS tagging; no CSPM</t>
  </si>
  <si>
    <t xml:space="preserve">DevOps Lead</t>
  </si>
  <si>
    <t xml:space="preserve">R-004</t>
  </si>
  <si>
    <t xml:space="preserve">Advanced persistent threat undetected due to lack of monitoring</t>
  </si>
  <si>
    <t xml:space="preserve">Nation-state / APT</t>
  </si>
  <si>
    <t xml:space="preserve">CloudWatch CPU/memory alerts only</t>
  </si>
  <si>
    <t xml:space="preserve">R-005</t>
  </si>
  <si>
    <t xml:space="preserve">Failure to notify PDPC within 72 hours of data breach due to no process</t>
  </si>
  <si>
    <t xml:space="preserve">Regulatory</t>
  </si>
  <si>
    <t xml:space="preserve">None</t>
  </si>
  <si>
    <t xml:space="preserve">DPO</t>
  </si>
  <si>
    <t xml:space="preserve">R-006</t>
  </si>
  <si>
    <t xml:space="preserve">Phishing attack succeeds against engineering staff due to inadequate training</t>
  </si>
  <si>
    <t xml:space="preserve">Annual phishing sim; generic training</t>
  </si>
  <si>
    <t xml:space="preserve">HR / CISO</t>
  </si>
  <si>
    <t xml:space="preserve">R-007</t>
  </si>
  <si>
    <t xml:space="preserve">Unpatched critical vulnerability exploited in production</t>
  </si>
  <si>
    <t xml:space="preserve">Quarterly pentests; Snyk for code deps</t>
  </si>
  <si>
    <t xml:space="preserve">R-008</t>
  </si>
  <si>
    <t xml:space="preserve">Data exfiltration via uncontrolled USB device</t>
  </si>
  <si>
    <t xml:space="preserve">Insider threat</t>
  </si>
  <si>
    <t xml:space="preserve">Full disk encryption on laptops</t>
  </si>
  <si>
    <t xml:space="preserve">IT Manager</t>
  </si>
  <si>
    <t xml:space="preserve">R-009</t>
  </si>
  <si>
    <t xml:space="preserve">PII mishandled due to absent data classification scheme</t>
  </si>
  <si>
    <t xml:space="preserve">Informal classification in onboarding</t>
  </si>
  <si>
    <t xml:space="preserve">R-010</t>
  </si>
  <si>
    <t xml:space="preserve">Vendor lock-in or data loss during cloud provider disruption</t>
  </si>
  <si>
    <t xml:space="preserve">Third-party</t>
  </si>
  <si>
    <t xml:space="preserve">AWS multi-AZ deployment</t>
  </si>
  <si>
    <t xml:space="preserve">Accept</t>
  </si>
  <si>
    <t xml:space="preserve">R-011</t>
  </si>
  <si>
    <t xml:space="preserve">Security vulnerabilities introduced via insecure code with no SAST/DAST</t>
  </si>
  <si>
    <t xml:space="preserve">Code reviews; Snyk dependency scan</t>
  </si>
  <si>
    <t xml:space="preserve">Engineering Lead</t>
  </si>
  <si>
    <t xml:space="preserve">R-012</t>
  </si>
  <si>
    <t xml:space="preserve">Tailgating incident leading to physical compromise of server room</t>
  </si>
  <si>
    <t xml:space="preserve">Social engineering</t>
  </si>
  <si>
    <t xml:space="preserve">Lobby security; biometric server room</t>
  </si>
  <si>
    <t xml:space="preserve">Office Manager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</si>
</sst>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538135"/>
      <name val="Arial"/>
      <family val="0"/>
      <charset val="1"/>
    </font>
    <font>
      <b val="true"/>
      <sz val="20"/>
      <color rgb="FFBF8F00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20"/>
      <color rgb="FF7030A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538135"/>
        <bgColor rgb="FF666666"/>
      </patternFill>
    </fill>
    <fill>
      <patternFill patternType="solid">
        <fgColor rgb="FFC00000"/>
        <bgColor rgb="FF9C00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78787"/>
      <rgbColor rgb="FF9999FF"/>
      <rgbColor rgb="FF7030A0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4F81BD"/>
      <rgbColor rgb="FF1F3864"/>
      <rgbColor rgb="FF5381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Implementation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53813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Dashboard!$G$9:$G$11</c:f>
              <c:strCache>
                <c:ptCount val="3"/>
                <c:pt idx="0">
                  <c:v>Implemented</c:v>
                </c:pt>
                <c:pt idx="1">
                  <c:v>Partially Implemented</c:v>
                </c:pt>
                <c:pt idx="2">
                  <c:v>Not Implemented</c:v>
                </c:pt>
              </c:strCache>
            </c:strRef>
          </c:cat>
          <c:val>
            <c:numRef>
              <c:f>Dashboard!$H$9:$H$11</c:f>
              <c:numCache>
                <c:formatCode>General</c:formatCode>
                <c:ptCount val="3"/>
                <c:pt idx="0">
                  <c:v>4</c:v>
                </c:pt>
                <c:pt idx="1">
                  <c:v>19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 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Dashboard!$B$9:$B$12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8101343"/>
        <c:axId val="76853814"/>
      </c:barChart>
      <c:catAx>
        <c:axId val="4810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53814"/>
        <c:crosses val="autoZero"/>
        <c:auto val="1"/>
        <c:lblAlgn val="ctr"/>
        <c:lblOffset val="100"/>
        <c:noMultiLvlLbl val="0"/>
      </c:catAx>
      <c:valAx>
        <c:axId val="76853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01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40680</xdr:rowOff>
    </xdr:from>
    <xdr:to>
      <xdr:col>5</xdr:col>
      <xdr:colOff>261720</xdr:colOff>
      <xdr:row>34</xdr:row>
      <xdr:rowOff>169200</xdr:rowOff>
    </xdr:to>
    <xdr:graphicFrame>
      <xdr:nvGraphicFramePr>
        <xdr:cNvPr id="0" name="Chart 1"/>
        <xdr:cNvGraphicFramePr/>
      </xdr:nvGraphicFramePr>
      <xdr:xfrm>
        <a:off x="0" y="2476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40680</xdr:rowOff>
    </xdr:from>
    <xdr:to>
      <xdr:col>16</xdr:col>
      <xdr:colOff>117000</xdr:colOff>
      <xdr:row>34</xdr:row>
      <xdr:rowOff>169200</xdr:rowOff>
    </xdr:to>
    <xdr:graphicFrame>
      <xdr:nvGraphicFramePr>
        <xdr:cNvPr id="1" name="Chart 2"/>
        <xdr:cNvGraphicFramePr/>
      </xdr:nvGraphicFramePr>
      <xdr:xfrm>
        <a:off x="9021960" y="2476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3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6"/>
  </cols>
  <sheetData>
    <row r="3" customFormat="false" ht="26.8" hidden="false" customHeight="false" outlineLevel="0" collapsed="false">
      <c r="B3" s="1" t="s">
        <v>0</v>
      </c>
      <c r="C3" s="1"/>
      <c r="D3" s="1"/>
      <c r="E3" s="1"/>
      <c r="F3" s="1"/>
      <c r="G3" s="1"/>
    </row>
    <row r="6" customFormat="false" ht="15" hidden="false" customHeight="false" outlineLevel="0" collapsed="false">
      <c r="B6" s="2" t="s">
        <v>1</v>
      </c>
      <c r="C6" s="3" t="s">
        <v>2</v>
      </c>
      <c r="D6" s="3"/>
      <c r="E6" s="3"/>
      <c r="F6" s="3"/>
      <c r="G6" s="3"/>
    </row>
    <row r="7" customFormat="false" ht="15" hidden="false" customHeight="false" outlineLevel="0" collapsed="false">
      <c r="B7" s="2" t="s">
        <v>3</v>
      </c>
      <c r="C7" s="3" t="s">
        <v>4</v>
      </c>
      <c r="D7" s="3"/>
      <c r="E7" s="3"/>
      <c r="F7" s="3"/>
      <c r="G7" s="3"/>
    </row>
    <row r="8" customFormat="false" ht="15" hidden="false" customHeight="false" outlineLevel="0" collapsed="false">
      <c r="B8" s="2" t="s">
        <v>5</v>
      </c>
      <c r="C8" s="3" t="s">
        <v>6</v>
      </c>
      <c r="D8" s="3"/>
      <c r="E8" s="3"/>
      <c r="F8" s="3"/>
      <c r="G8" s="3"/>
    </row>
    <row r="9" customFormat="false" ht="15" hidden="false" customHeight="false" outlineLevel="0" collapsed="false">
      <c r="B9" s="2" t="s">
        <v>7</v>
      </c>
      <c r="C9" s="3" t="s">
        <v>8</v>
      </c>
      <c r="D9" s="3"/>
      <c r="E9" s="3"/>
      <c r="F9" s="3"/>
      <c r="G9" s="3"/>
    </row>
    <row r="10" customFormat="false" ht="15" hidden="false" customHeight="false" outlineLevel="0" collapsed="false">
      <c r="B10" s="2" t="s">
        <v>9</v>
      </c>
      <c r="C10" s="3" t="s">
        <v>10</v>
      </c>
      <c r="D10" s="3"/>
      <c r="E10" s="3"/>
      <c r="F10" s="3"/>
      <c r="G10" s="3"/>
    </row>
    <row r="11" customFormat="false" ht="15" hidden="false" customHeight="false" outlineLevel="0" collapsed="false">
      <c r="B11" s="2" t="s">
        <v>11</v>
      </c>
      <c r="C11" s="3" t="s">
        <v>12</v>
      </c>
      <c r="D11" s="3"/>
      <c r="E11" s="3"/>
      <c r="F11" s="3"/>
      <c r="G11" s="3"/>
    </row>
    <row r="12" customFormat="false" ht="15" hidden="false" customHeight="false" outlineLevel="0" collapsed="false">
      <c r="B12" s="2" t="s">
        <v>13</v>
      </c>
      <c r="C12" s="3" t="s">
        <v>14</v>
      </c>
      <c r="D12" s="3"/>
      <c r="E12" s="3"/>
      <c r="F12" s="3"/>
      <c r="G12" s="3"/>
    </row>
    <row r="13" customFormat="false" ht="15" hidden="false" customHeight="false" outlineLevel="0" collapsed="false">
      <c r="B13" s="2" t="s">
        <v>15</v>
      </c>
      <c r="C13" s="3" t="s">
        <v>16</v>
      </c>
      <c r="D13" s="3"/>
      <c r="E13" s="3"/>
      <c r="F13" s="3"/>
      <c r="G13" s="3"/>
    </row>
    <row r="14" customFormat="false" ht="15" hidden="false" customHeight="false" outlineLevel="0" collapsed="false">
      <c r="B14" s="2" t="s">
        <v>17</v>
      </c>
      <c r="C14" s="3" t="s">
        <v>18</v>
      </c>
      <c r="D14" s="3"/>
      <c r="E14" s="3"/>
      <c r="F14" s="3"/>
      <c r="G14" s="3"/>
    </row>
    <row r="15" customFormat="false" ht="15" hidden="false" customHeight="false" outlineLevel="0" collapsed="false">
      <c r="B15" s="2" t="s">
        <v>19</v>
      </c>
      <c r="C15" s="3" t="s">
        <v>20</v>
      </c>
      <c r="D15" s="3"/>
      <c r="E15" s="3"/>
      <c r="F15" s="3"/>
      <c r="G15" s="3"/>
    </row>
    <row r="18" customFormat="false" ht="15" hidden="false" customHeight="true" outlineLevel="0" collapsed="false">
      <c r="B18" s="4" t="s">
        <v>21</v>
      </c>
      <c r="C18" s="4"/>
      <c r="D18" s="4"/>
      <c r="E18" s="4"/>
      <c r="F18" s="4"/>
      <c r="G18" s="4"/>
    </row>
    <row r="19" customFormat="false" ht="15" hidden="false" customHeight="false" outlineLevel="0" collapsed="false"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B20" s="4"/>
      <c r="C20" s="4"/>
      <c r="D20" s="4"/>
      <c r="E20" s="4"/>
      <c r="F20" s="4"/>
      <c r="G20" s="4"/>
    </row>
  </sheetData>
  <mergeCells count="12">
    <mergeCell ref="B3:G3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B18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22"/>
    <col collapsed="false" customWidth="true" hidden="false" outlineLevel="0" max="10" min="8" style="0" width="14"/>
  </cols>
  <sheetData>
    <row r="1" customFormat="false" ht="17.35" hidden="false" customHeight="false" outlineLevel="0" collapsed="false">
      <c r="A1" s="5" t="s">
        <v>22</v>
      </c>
      <c r="B1" s="5"/>
      <c r="C1" s="5"/>
      <c r="D1" s="5"/>
      <c r="E1" s="5"/>
      <c r="F1" s="5"/>
      <c r="G1" s="5"/>
      <c r="H1" s="5"/>
    </row>
    <row r="3" customFormat="false" ht="15" hidden="false" customHeight="false" outlineLevel="0" collapsed="false">
      <c r="A3" s="6" t="s">
        <v>23</v>
      </c>
      <c r="B3" s="6"/>
      <c r="C3" s="6" t="s">
        <v>24</v>
      </c>
      <c r="D3" s="6"/>
      <c r="E3" s="6" t="s">
        <v>25</v>
      </c>
      <c r="F3" s="6"/>
      <c r="G3" s="6" t="s">
        <v>26</v>
      </c>
      <c r="H3" s="6"/>
      <c r="I3" s="6" t="s">
        <v>27</v>
      </c>
      <c r="J3" s="6"/>
    </row>
    <row r="4" customFormat="false" ht="24.45" hidden="false" customHeight="false" outlineLevel="0" collapsed="false">
      <c r="A4" s="7" t="n">
        <f aca="false">COUNTA('Gap Analysis'!A4:A30)</f>
        <v>27</v>
      </c>
      <c r="B4" s="7"/>
      <c r="C4" s="8" t="n">
        <f aca="false">COUNTIF('Gap Analysis'!D4:D30,"Implemented")</f>
        <v>4</v>
      </c>
      <c r="D4" s="8"/>
      <c r="E4" s="9" t="n">
        <f aca="false">COUNTIF('Gap Analysis'!D4:D30,"Partially Implemented")</f>
        <v>19</v>
      </c>
      <c r="F4" s="9"/>
      <c r="G4" s="10" t="n">
        <f aca="false">COUNTIF('Gap Analysis'!D4:D30,"Not Implemented")</f>
        <v>4</v>
      </c>
      <c r="H4" s="10"/>
      <c r="I4" s="11" t="n">
        <f aca="false">ROUND(AVERAGE('Gap Analysis'!E4:E30),1)</f>
        <v>2.4</v>
      </c>
      <c r="J4" s="11"/>
    </row>
    <row r="7" customFormat="false" ht="15" hidden="false" customHeight="false" outlineLevel="0" collapsed="false">
      <c r="A7" s="12" t="s">
        <v>28</v>
      </c>
      <c r="D7" s="12" t="s">
        <v>29</v>
      </c>
      <c r="G7" s="12" t="s">
        <v>30</v>
      </c>
    </row>
    <row r="8" customFormat="false" ht="15" hidden="false" customHeight="false" outlineLevel="0" collapsed="false">
      <c r="A8" s="2" t="s">
        <v>31</v>
      </c>
      <c r="B8" s="2" t="s">
        <v>32</v>
      </c>
      <c r="D8" s="2" t="s">
        <v>33</v>
      </c>
      <c r="E8" s="2" t="s">
        <v>32</v>
      </c>
      <c r="G8" s="2" t="s">
        <v>34</v>
      </c>
      <c r="H8" s="2" t="s">
        <v>32</v>
      </c>
    </row>
    <row r="9" customFormat="false" ht="15" hidden="false" customHeight="false" outlineLevel="0" collapsed="false">
      <c r="A9" s="13" t="s">
        <v>35</v>
      </c>
      <c r="B9" s="13" t="n">
        <f aca="false">COUNTIF('Risk Register'!L4:L15,"Critical")</f>
        <v>1</v>
      </c>
      <c r="D9" s="13" t="s">
        <v>36</v>
      </c>
      <c r="E9" s="13" t="n">
        <f aca="false">COUNTIF('Gap Analysis'!I4:I30,"P1")</f>
        <v>19</v>
      </c>
      <c r="G9" s="13" t="s">
        <v>24</v>
      </c>
      <c r="H9" s="13" t="n">
        <f aca="false">COUNTIF('Gap Analysis'!D4:D30,"Implemented")</f>
        <v>4</v>
      </c>
    </row>
    <row r="10" customFormat="false" ht="15" hidden="false" customHeight="false" outlineLevel="0" collapsed="false">
      <c r="A10" s="13" t="s">
        <v>37</v>
      </c>
      <c r="B10" s="13" t="n">
        <f aca="false">COUNTIF('Risk Register'!L4:L15,"High")</f>
        <v>7</v>
      </c>
      <c r="D10" s="13" t="s">
        <v>38</v>
      </c>
      <c r="E10" s="13" t="n">
        <f aca="false">COUNTIF('Gap Analysis'!I4:I30,"P2")</f>
        <v>7</v>
      </c>
      <c r="G10" s="13" t="s">
        <v>25</v>
      </c>
      <c r="H10" s="13" t="n">
        <f aca="false">COUNTIF('Gap Analysis'!D4:D30,"Partially Implemented")</f>
        <v>19</v>
      </c>
    </row>
    <row r="11" customFormat="false" ht="15" hidden="false" customHeight="false" outlineLevel="0" collapsed="false">
      <c r="A11" s="13" t="s">
        <v>39</v>
      </c>
      <c r="B11" s="13" t="n">
        <f aca="false">COUNTIF('Risk Register'!L4:L15,"Medium")</f>
        <v>4</v>
      </c>
      <c r="D11" s="13" t="s">
        <v>40</v>
      </c>
      <c r="E11" s="13" t="n">
        <f aca="false">COUNTIF('Gap Analysis'!I4:I30,"P3")</f>
        <v>1</v>
      </c>
      <c r="G11" s="13" t="s">
        <v>26</v>
      </c>
      <c r="H11" s="13" t="n">
        <f aca="false">COUNTIF('Gap Analysis'!D4:D30,"Not Implemented")</f>
        <v>4</v>
      </c>
    </row>
    <row r="12" customFormat="false" ht="15" hidden="false" customHeight="false" outlineLevel="0" collapsed="false">
      <c r="A12" s="13" t="s">
        <v>41</v>
      </c>
      <c r="B12" s="13" t="n">
        <f aca="false">COUNTIF('Risk Register'!L4:L15,"Low")</f>
        <v>0</v>
      </c>
    </row>
  </sheetData>
  <mergeCells count="11">
    <mergeCell ref="A1:H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3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5" t="s">
        <v>42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26.85" hidden="false" customHeight="false" outlineLevel="0" collapsed="false">
      <c r="A3" s="14" t="s">
        <v>43</v>
      </c>
      <c r="B3" s="14" t="s">
        <v>44</v>
      </c>
      <c r="C3" s="14" t="s">
        <v>45</v>
      </c>
      <c r="D3" s="14" t="s">
        <v>30</v>
      </c>
      <c r="E3" s="14" t="s">
        <v>46</v>
      </c>
      <c r="F3" s="14" t="s">
        <v>47</v>
      </c>
      <c r="G3" s="14" t="s">
        <v>48</v>
      </c>
      <c r="H3" s="14" t="s">
        <v>49</v>
      </c>
      <c r="I3" s="14" t="s">
        <v>33</v>
      </c>
      <c r="J3" s="14" t="s">
        <v>50</v>
      </c>
    </row>
    <row r="4" customFormat="false" ht="35.05" hidden="false" customHeight="false" outlineLevel="0" collapsed="false">
      <c r="A4" s="15" t="s">
        <v>51</v>
      </c>
      <c r="B4" s="16" t="s">
        <v>52</v>
      </c>
      <c r="C4" s="16" t="s">
        <v>53</v>
      </c>
      <c r="D4" s="16" t="s">
        <v>25</v>
      </c>
      <c r="E4" s="17" t="n">
        <v>2</v>
      </c>
      <c r="F4" s="16" t="s">
        <v>54</v>
      </c>
      <c r="G4" s="16" t="s">
        <v>55</v>
      </c>
      <c r="H4" s="17" t="s">
        <v>37</v>
      </c>
      <c r="I4" s="17" t="s">
        <v>36</v>
      </c>
      <c r="J4" s="16" t="s">
        <v>56</v>
      </c>
    </row>
    <row r="5" customFormat="false" ht="35.05" hidden="false" customHeight="false" outlineLevel="0" collapsed="false">
      <c r="A5" s="18" t="s">
        <v>57</v>
      </c>
      <c r="B5" s="19" t="s">
        <v>58</v>
      </c>
      <c r="C5" s="19" t="s">
        <v>59</v>
      </c>
      <c r="D5" s="19" t="s">
        <v>25</v>
      </c>
      <c r="E5" s="20" t="n">
        <v>2</v>
      </c>
      <c r="F5" s="19" t="s">
        <v>60</v>
      </c>
      <c r="G5" s="19" t="s">
        <v>61</v>
      </c>
      <c r="H5" s="20" t="s">
        <v>37</v>
      </c>
      <c r="I5" s="20" t="s">
        <v>36</v>
      </c>
      <c r="J5" s="19" t="s">
        <v>62</v>
      </c>
    </row>
    <row r="6" customFormat="false" ht="35.05" hidden="false" customHeight="false" outlineLevel="0" collapsed="false">
      <c r="A6" s="15" t="s">
        <v>63</v>
      </c>
      <c r="B6" s="16" t="s">
        <v>64</v>
      </c>
      <c r="C6" s="16" t="s">
        <v>65</v>
      </c>
      <c r="D6" s="16" t="s">
        <v>25</v>
      </c>
      <c r="E6" s="17" t="n">
        <v>3</v>
      </c>
      <c r="F6" s="16" t="s">
        <v>66</v>
      </c>
      <c r="G6" s="16" t="s">
        <v>67</v>
      </c>
      <c r="H6" s="17" t="s">
        <v>35</v>
      </c>
      <c r="I6" s="17" t="s">
        <v>36</v>
      </c>
      <c r="J6" s="16" t="s">
        <v>68</v>
      </c>
    </row>
    <row r="7" customFormat="false" ht="35.05" hidden="false" customHeight="false" outlineLevel="0" collapsed="false">
      <c r="A7" s="18" t="s">
        <v>69</v>
      </c>
      <c r="B7" s="19" t="s">
        <v>70</v>
      </c>
      <c r="C7" s="19" t="s">
        <v>71</v>
      </c>
      <c r="D7" s="19" t="s">
        <v>24</v>
      </c>
      <c r="E7" s="20" t="n">
        <v>3</v>
      </c>
      <c r="F7" s="19" t="s">
        <v>72</v>
      </c>
      <c r="G7" s="19" t="s">
        <v>73</v>
      </c>
      <c r="H7" s="20" t="s">
        <v>39</v>
      </c>
      <c r="I7" s="20" t="s">
        <v>38</v>
      </c>
      <c r="J7" s="19" t="s">
        <v>74</v>
      </c>
    </row>
    <row r="8" customFormat="false" ht="35.05" hidden="false" customHeight="false" outlineLevel="0" collapsed="false">
      <c r="A8" s="15" t="s">
        <v>75</v>
      </c>
      <c r="B8" s="16" t="s">
        <v>76</v>
      </c>
      <c r="C8" s="16" t="s">
        <v>77</v>
      </c>
      <c r="D8" s="16" t="s">
        <v>26</v>
      </c>
      <c r="E8" s="17" t="n">
        <v>1</v>
      </c>
      <c r="F8" s="16" t="s">
        <v>78</v>
      </c>
      <c r="G8" s="16" t="s">
        <v>79</v>
      </c>
      <c r="H8" s="17" t="s">
        <v>37</v>
      </c>
      <c r="I8" s="17" t="s">
        <v>36</v>
      </c>
      <c r="J8" s="16" t="s">
        <v>80</v>
      </c>
    </row>
    <row r="9" customFormat="false" ht="35.05" hidden="false" customHeight="false" outlineLevel="0" collapsed="false">
      <c r="A9" s="18" t="s">
        <v>81</v>
      </c>
      <c r="B9" s="19" t="s">
        <v>82</v>
      </c>
      <c r="C9" s="19" t="s">
        <v>83</v>
      </c>
      <c r="D9" s="19" t="s">
        <v>25</v>
      </c>
      <c r="E9" s="20" t="n">
        <v>2</v>
      </c>
      <c r="F9" s="19" t="s">
        <v>84</v>
      </c>
      <c r="G9" s="19" t="s">
        <v>85</v>
      </c>
      <c r="H9" s="20" t="s">
        <v>37</v>
      </c>
      <c r="I9" s="20" t="s">
        <v>36</v>
      </c>
      <c r="J9" s="19" t="s">
        <v>86</v>
      </c>
    </row>
    <row r="10" customFormat="false" ht="35.05" hidden="false" customHeight="false" outlineLevel="0" collapsed="false">
      <c r="A10" s="15" t="s">
        <v>87</v>
      </c>
      <c r="B10" s="16" t="s">
        <v>88</v>
      </c>
      <c r="C10" s="16" t="s">
        <v>89</v>
      </c>
      <c r="D10" s="16" t="s">
        <v>26</v>
      </c>
      <c r="E10" s="17" t="n">
        <v>1</v>
      </c>
      <c r="F10" s="16" t="s">
        <v>90</v>
      </c>
      <c r="G10" s="16" t="s">
        <v>91</v>
      </c>
      <c r="H10" s="17" t="s">
        <v>37</v>
      </c>
      <c r="I10" s="17" t="s">
        <v>36</v>
      </c>
      <c r="J10" s="16" t="s">
        <v>92</v>
      </c>
    </row>
    <row r="11" customFormat="false" ht="35.05" hidden="false" customHeight="false" outlineLevel="0" collapsed="false">
      <c r="A11" s="18" t="s">
        <v>93</v>
      </c>
      <c r="B11" s="19" t="s">
        <v>94</v>
      </c>
      <c r="C11" s="19" t="s">
        <v>95</v>
      </c>
      <c r="D11" s="19" t="s">
        <v>25</v>
      </c>
      <c r="E11" s="20" t="n">
        <v>2</v>
      </c>
      <c r="F11" s="19" t="s">
        <v>96</v>
      </c>
      <c r="G11" s="19" t="s">
        <v>97</v>
      </c>
      <c r="H11" s="20" t="s">
        <v>37</v>
      </c>
      <c r="I11" s="20" t="s">
        <v>36</v>
      </c>
      <c r="J11" s="19" t="s">
        <v>98</v>
      </c>
    </row>
    <row r="12" customFormat="false" ht="35.05" hidden="false" customHeight="false" outlineLevel="0" collapsed="false">
      <c r="A12" s="15" t="s">
        <v>99</v>
      </c>
      <c r="B12" s="16" t="s">
        <v>100</v>
      </c>
      <c r="C12" s="16" t="s">
        <v>101</v>
      </c>
      <c r="D12" s="16" t="s">
        <v>25</v>
      </c>
      <c r="E12" s="17" t="n">
        <v>3</v>
      </c>
      <c r="F12" s="16" t="s">
        <v>102</v>
      </c>
      <c r="G12" s="16" t="s">
        <v>103</v>
      </c>
      <c r="H12" s="17" t="s">
        <v>35</v>
      </c>
      <c r="I12" s="17" t="s">
        <v>36</v>
      </c>
      <c r="J12" s="16" t="s">
        <v>104</v>
      </c>
    </row>
    <row r="13" customFormat="false" ht="35.05" hidden="false" customHeight="false" outlineLevel="0" collapsed="false">
      <c r="A13" s="18" t="s">
        <v>105</v>
      </c>
      <c r="B13" s="19" t="s">
        <v>106</v>
      </c>
      <c r="C13" s="19" t="s">
        <v>107</v>
      </c>
      <c r="D13" s="19" t="s">
        <v>25</v>
      </c>
      <c r="E13" s="20" t="n">
        <v>2</v>
      </c>
      <c r="F13" s="19" t="s">
        <v>108</v>
      </c>
      <c r="G13" s="19" t="s">
        <v>109</v>
      </c>
      <c r="H13" s="20" t="s">
        <v>37</v>
      </c>
      <c r="I13" s="20" t="s">
        <v>36</v>
      </c>
      <c r="J13" s="19" t="s">
        <v>110</v>
      </c>
    </row>
    <row r="14" customFormat="false" ht="35.05" hidden="false" customHeight="false" outlineLevel="0" collapsed="false">
      <c r="A14" s="15" t="s">
        <v>111</v>
      </c>
      <c r="B14" s="16" t="s">
        <v>112</v>
      </c>
      <c r="C14" s="16" t="s">
        <v>113</v>
      </c>
      <c r="D14" s="16" t="s">
        <v>25</v>
      </c>
      <c r="E14" s="17" t="n">
        <v>2</v>
      </c>
      <c r="F14" s="16" t="s">
        <v>114</v>
      </c>
      <c r="G14" s="16" t="s">
        <v>115</v>
      </c>
      <c r="H14" s="17" t="s">
        <v>35</v>
      </c>
      <c r="I14" s="17" t="s">
        <v>36</v>
      </c>
      <c r="J14" s="16" t="s">
        <v>116</v>
      </c>
    </row>
    <row r="15" customFormat="false" ht="35.05" hidden="false" customHeight="false" outlineLevel="0" collapsed="false">
      <c r="A15" s="18" t="s">
        <v>117</v>
      </c>
      <c r="B15" s="19" t="s">
        <v>118</v>
      </c>
      <c r="C15" s="19" t="s">
        <v>119</v>
      </c>
      <c r="D15" s="19" t="s">
        <v>25</v>
      </c>
      <c r="E15" s="20" t="n">
        <v>3</v>
      </c>
      <c r="F15" s="19" t="s">
        <v>120</v>
      </c>
      <c r="G15" s="19" t="s">
        <v>121</v>
      </c>
      <c r="H15" s="20" t="s">
        <v>37</v>
      </c>
      <c r="I15" s="20" t="s">
        <v>38</v>
      </c>
      <c r="J15" s="19" t="s">
        <v>122</v>
      </c>
    </row>
    <row r="16" customFormat="false" ht="23.85" hidden="false" customHeight="false" outlineLevel="0" collapsed="false">
      <c r="A16" s="15" t="s">
        <v>123</v>
      </c>
      <c r="B16" s="16" t="s">
        <v>124</v>
      </c>
      <c r="C16" s="16" t="s">
        <v>125</v>
      </c>
      <c r="D16" s="16" t="s">
        <v>24</v>
      </c>
      <c r="E16" s="17" t="n">
        <v>4</v>
      </c>
      <c r="F16" s="16" t="s">
        <v>126</v>
      </c>
      <c r="G16" s="16" t="s">
        <v>127</v>
      </c>
      <c r="H16" s="17" t="s">
        <v>39</v>
      </c>
      <c r="I16" s="17" t="s">
        <v>38</v>
      </c>
      <c r="J16" s="16" t="s">
        <v>128</v>
      </c>
    </row>
    <row r="17" customFormat="false" ht="35.05" hidden="false" customHeight="false" outlineLevel="0" collapsed="false">
      <c r="A17" s="18" t="s">
        <v>129</v>
      </c>
      <c r="B17" s="19" t="s">
        <v>130</v>
      </c>
      <c r="C17" s="19" t="s">
        <v>131</v>
      </c>
      <c r="D17" s="19" t="s">
        <v>24</v>
      </c>
      <c r="E17" s="20" t="n">
        <v>4</v>
      </c>
      <c r="F17" s="19" t="s">
        <v>132</v>
      </c>
      <c r="G17" s="19" t="s">
        <v>133</v>
      </c>
      <c r="H17" s="20" t="s">
        <v>41</v>
      </c>
      <c r="I17" s="20" t="s">
        <v>40</v>
      </c>
      <c r="J17" s="19" t="s">
        <v>134</v>
      </c>
    </row>
    <row r="18" customFormat="false" ht="35.05" hidden="false" customHeight="false" outlineLevel="0" collapsed="false">
      <c r="A18" s="15" t="s">
        <v>135</v>
      </c>
      <c r="B18" s="16" t="s">
        <v>136</v>
      </c>
      <c r="C18" s="16" t="s">
        <v>137</v>
      </c>
      <c r="D18" s="16" t="s">
        <v>25</v>
      </c>
      <c r="E18" s="17" t="n">
        <v>2</v>
      </c>
      <c r="F18" s="16" t="s">
        <v>138</v>
      </c>
      <c r="G18" s="16" t="s">
        <v>139</v>
      </c>
      <c r="H18" s="17" t="s">
        <v>37</v>
      </c>
      <c r="I18" s="17" t="s">
        <v>36</v>
      </c>
      <c r="J18" s="16" t="s">
        <v>140</v>
      </c>
    </row>
    <row r="19" customFormat="false" ht="35.05" hidden="false" customHeight="false" outlineLevel="0" collapsed="false">
      <c r="A19" s="18" t="s">
        <v>141</v>
      </c>
      <c r="B19" s="19" t="s">
        <v>142</v>
      </c>
      <c r="C19" s="19" t="s">
        <v>143</v>
      </c>
      <c r="D19" s="19" t="s">
        <v>25</v>
      </c>
      <c r="E19" s="20" t="n">
        <v>3</v>
      </c>
      <c r="F19" s="19" t="s">
        <v>144</v>
      </c>
      <c r="G19" s="19" t="s">
        <v>145</v>
      </c>
      <c r="H19" s="20" t="s">
        <v>39</v>
      </c>
      <c r="I19" s="20" t="s">
        <v>38</v>
      </c>
      <c r="J19" s="19" t="s">
        <v>146</v>
      </c>
    </row>
    <row r="20" customFormat="false" ht="23.85" hidden="false" customHeight="false" outlineLevel="0" collapsed="false">
      <c r="A20" s="15" t="s">
        <v>147</v>
      </c>
      <c r="B20" s="16" t="s">
        <v>148</v>
      </c>
      <c r="C20" s="16" t="s">
        <v>149</v>
      </c>
      <c r="D20" s="16" t="s">
        <v>24</v>
      </c>
      <c r="E20" s="17" t="n">
        <v>4</v>
      </c>
      <c r="F20" s="16" t="s">
        <v>150</v>
      </c>
      <c r="G20" s="16" t="s">
        <v>151</v>
      </c>
      <c r="H20" s="17" t="s">
        <v>39</v>
      </c>
      <c r="I20" s="17" t="s">
        <v>38</v>
      </c>
      <c r="J20" s="16" t="s">
        <v>152</v>
      </c>
    </row>
    <row r="21" customFormat="false" ht="35.05" hidden="false" customHeight="false" outlineLevel="0" collapsed="false">
      <c r="A21" s="18" t="s">
        <v>153</v>
      </c>
      <c r="B21" s="19" t="s">
        <v>154</v>
      </c>
      <c r="C21" s="19" t="s">
        <v>155</v>
      </c>
      <c r="D21" s="19" t="s">
        <v>25</v>
      </c>
      <c r="E21" s="20" t="n">
        <v>3</v>
      </c>
      <c r="F21" s="19" t="s">
        <v>156</v>
      </c>
      <c r="G21" s="19" t="s">
        <v>157</v>
      </c>
      <c r="H21" s="20" t="s">
        <v>39</v>
      </c>
      <c r="I21" s="20" t="s">
        <v>38</v>
      </c>
      <c r="J21" s="19" t="s">
        <v>158</v>
      </c>
    </row>
    <row r="22" customFormat="false" ht="35.05" hidden="false" customHeight="false" outlineLevel="0" collapsed="false">
      <c r="A22" s="15" t="s">
        <v>159</v>
      </c>
      <c r="B22" s="16" t="s">
        <v>160</v>
      </c>
      <c r="C22" s="16" t="s">
        <v>161</v>
      </c>
      <c r="D22" s="16" t="s">
        <v>25</v>
      </c>
      <c r="E22" s="17" t="n">
        <v>3</v>
      </c>
      <c r="F22" s="16" t="s">
        <v>162</v>
      </c>
      <c r="G22" s="16" t="s">
        <v>163</v>
      </c>
      <c r="H22" s="17" t="s">
        <v>37</v>
      </c>
      <c r="I22" s="17" t="s">
        <v>36</v>
      </c>
      <c r="J22" s="16" t="s">
        <v>164</v>
      </c>
    </row>
    <row r="23" customFormat="false" ht="46.25" hidden="false" customHeight="false" outlineLevel="0" collapsed="false">
      <c r="A23" s="18" t="s">
        <v>165</v>
      </c>
      <c r="B23" s="19" t="s">
        <v>166</v>
      </c>
      <c r="C23" s="19" t="s">
        <v>167</v>
      </c>
      <c r="D23" s="19" t="s">
        <v>25</v>
      </c>
      <c r="E23" s="20" t="n">
        <v>3</v>
      </c>
      <c r="F23" s="19" t="s">
        <v>168</v>
      </c>
      <c r="G23" s="19" t="s">
        <v>169</v>
      </c>
      <c r="H23" s="20" t="s">
        <v>37</v>
      </c>
      <c r="I23" s="20" t="s">
        <v>36</v>
      </c>
      <c r="J23" s="19" t="s">
        <v>170</v>
      </c>
    </row>
    <row r="24" customFormat="false" ht="35.05" hidden="false" customHeight="false" outlineLevel="0" collapsed="false">
      <c r="A24" s="15" t="s">
        <v>171</v>
      </c>
      <c r="B24" s="16" t="s">
        <v>172</v>
      </c>
      <c r="C24" s="16" t="s">
        <v>173</v>
      </c>
      <c r="D24" s="16" t="s">
        <v>25</v>
      </c>
      <c r="E24" s="17" t="n">
        <v>2</v>
      </c>
      <c r="F24" s="16" t="s">
        <v>174</v>
      </c>
      <c r="G24" s="16" t="s">
        <v>175</v>
      </c>
      <c r="H24" s="17" t="s">
        <v>35</v>
      </c>
      <c r="I24" s="17" t="s">
        <v>36</v>
      </c>
      <c r="J24" s="16" t="s">
        <v>176</v>
      </c>
    </row>
    <row r="25" customFormat="false" ht="35.05" hidden="false" customHeight="false" outlineLevel="0" collapsed="false">
      <c r="A25" s="18" t="s">
        <v>177</v>
      </c>
      <c r="B25" s="19" t="s">
        <v>178</v>
      </c>
      <c r="C25" s="19" t="s">
        <v>179</v>
      </c>
      <c r="D25" s="19" t="s">
        <v>26</v>
      </c>
      <c r="E25" s="20" t="n">
        <v>1</v>
      </c>
      <c r="F25" s="19" t="s">
        <v>180</v>
      </c>
      <c r="G25" s="19" t="s">
        <v>181</v>
      </c>
      <c r="H25" s="20" t="s">
        <v>35</v>
      </c>
      <c r="I25" s="20" t="s">
        <v>36</v>
      </c>
      <c r="J25" s="19" t="s">
        <v>182</v>
      </c>
    </row>
    <row r="26" customFormat="false" ht="35.05" hidden="false" customHeight="false" outlineLevel="0" collapsed="false">
      <c r="A26" s="15" t="s">
        <v>183</v>
      </c>
      <c r="B26" s="16" t="s">
        <v>184</v>
      </c>
      <c r="C26" s="16" t="s">
        <v>185</v>
      </c>
      <c r="D26" s="16" t="s">
        <v>25</v>
      </c>
      <c r="E26" s="17" t="n">
        <v>3</v>
      </c>
      <c r="F26" s="16" t="s">
        <v>186</v>
      </c>
      <c r="G26" s="16" t="s">
        <v>187</v>
      </c>
      <c r="H26" s="17" t="s">
        <v>37</v>
      </c>
      <c r="I26" s="17" t="s">
        <v>36</v>
      </c>
      <c r="J26" s="16" t="s">
        <v>188</v>
      </c>
    </row>
    <row r="27" customFormat="false" ht="35.05" hidden="false" customHeight="false" outlineLevel="0" collapsed="false">
      <c r="A27" s="18" t="s">
        <v>189</v>
      </c>
      <c r="B27" s="19" t="s">
        <v>190</v>
      </c>
      <c r="C27" s="19" t="s">
        <v>191</v>
      </c>
      <c r="D27" s="19" t="s">
        <v>26</v>
      </c>
      <c r="E27" s="20" t="n">
        <v>1</v>
      </c>
      <c r="F27" s="19" t="s">
        <v>192</v>
      </c>
      <c r="G27" s="19" t="s">
        <v>193</v>
      </c>
      <c r="H27" s="20" t="s">
        <v>35</v>
      </c>
      <c r="I27" s="20" t="s">
        <v>36</v>
      </c>
      <c r="J27" s="19" t="s">
        <v>194</v>
      </c>
    </row>
    <row r="28" customFormat="false" ht="35.05" hidden="false" customHeight="false" outlineLevel="0" collapsed="false">
      <c r="A28" s="15" t="s">
        <v>195</v>
      </c>
      <c r="B28" s="16" t="s">
        <v>196</v>
      </c>
      <c r="C28" s="16" t="s">
        <v>197</v>
      </c>
      <c r="D28" s="16" t="s">
        <v>25</v>
      </c>
      <c r="E28" s="17" t="n">
        <v>3</v>
      </c>
      <c r="F28" s="16" t="s">
        <v>198</v>
      </c>
      <c r="G28" s="16" t="s">
        <v>199</v>
      </c>
      <c r="H28" s="17" t="s">
        <v>39</v>
      </c>
      <c r="I28" s="17" t="s">
        <v>38</v>
      </c>
      <c r="J28" s="16" t="s">
        <v>200</v>
      </c>
    </row>
    <row r="29" customFormat="false" ht="46.25" hidden="false" customHeight="false" outlineLevel="0" collapsed="false">
      <c r="A29" s="18" t="s">
        <v>201</v>
      </c>
      <c r="B29" s="19" t="s">
        <v>202</v>
      </c>
      <c r="C29" s="19" t="s">
        <v>203</v>
      </c>
      <c r="D29" s="19" t="s">
        <v>25</v>
      </c>
      <c r="E29" s="20" t="n">
        <v>2</v>
      </c>
      <c r="F29" s="19" t="s">
        <v>204</v>
      </c>
      <c r="G29" s="19" t="s">
        <v>205</v>
      </c>
      <c r="H29" s="20" t="s">
        <v>37</v>
      </c>
      <c r="I29" s="20" t="s">
        <v>36</v>
      </c>
      <c r="J29" s="19" t="s">
        <v>206</v>
      </c>
    </row>
    <row r="30" customFormat="false" ht="35.05" hidden="false" customHeight="false" outlineLevel="0" collapsed="false">
      <c r="A30" s="15" t="s">
        <v>207</v>
      </c>
      <c r="B30" s="16" t="s">
        <v>208</v>
      </c>
      <c r="C30" s="16" t="s">
        <v>209</v>
      </c>
      <c r="D30" s="16" t="s">
        <v>25</v>
      </c>
      <c r="E30" s="17" t="n">
        <v>2</v>
      </c>
      <c r="F30" s="16" t="s">
        <v>210</v>
      </c>
      <c r="G30" s="16" t="s">
        <v>211</v>
      </c>
      <c r="H30" s="17" t="s">
        <v>37</v>
      </c>
      <c r="I30" s="17" t="s">
        <v>36</v>
      </c>
      <c r="J30" s="16" t="s">
        <v>212</v>
      </c>
    </row>
  </sheetData>
  <autoFilter ref="A3:J30"/>
  <mergeCells count="1">
    <mergeCell ref="A1:J1"/>
  </mergeCells>
  <conditionalFormatting sqref="H4:H30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conditionalFormatting sqref="I4:I30">
    <cfRule type="cellIs" priority="6" operator="equal" aboveAverage="0" equalAverage="0" bottom="0" percent="0" rank="0" text="" dxfId="12">
      <formula>"P1"</formula>
    </cfRule>
    <cfRule type="cellIs" priority="7" operator="equal" aboveAverage="0" equalAverage="0" bottom="0" percent="0" rank="0" text="" dxfId="13">
      <formula>"P2"</formula>
    </cfRule>
    <cfRule type="cellIs" priority="8" operator="equal" aboveAverage="0" equalAverage="0" bottom="0" percent="0" rank="0" text="" dxfId="14">
      <formula>"P3"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5" t="s">
        <v>213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1" t="s">
        <v>214</v>
      </c>
      <c r="B2" s="21"/>
      <c r="C2" s="21"/>
      <c r="D2" s="21"/>
      <c r="E2" s="21"/>
      <c r="F2" s="21"/>
    </row>
    <row r="4" customFormat="false" ht="26.85" hidden="false" customHeight="false" outlineLevel="0" collapsed="false">
      <c r="A4" s="22" t="s">
        <v>43</v>
      </c>
      <c r="B4" s="22" t="s">
        <v>44</v>
      </c>
      <c r="C4" s="22" t="s">
        <v>215</v>
      </c>
      <c r="D4" s="22" t="s">
        <v>216</v>
      </c>
      <c r="E4" s="22" t="s">
        <v>30</v>
      </c>
      <c r="F4" s="22" t="s">
        <v>217</v>
      </c>
    </row>
    <row r="5" customFormat="false" ht="35.05" hidden="false" customHeight="false" outlineLevel="0" collapsed="false">
      <c r="A5" s="15" t="s">
        <v>51</v>
      </c>
      <c r="B5" s="16" t="s">
        <v>52</v>
      </c>
      <c r="C5" s="17" t="s">
        <v>218</v>
      </c>
      <c r="D5" s="16" t="s">
        <v>219</v>
      </c>
      <c r="E5" s="16" t="s">
        <v>25</v>
      </c>
      <c r="F5" s="16" t="s">
        <v>220</v>
      </c>
    </row>
    <row r="6" customFormat="false" ht="23.85" hidden="false" customHeight="false" outlineLevel="0" collapsed="false">
      <c r="A6" s="18" t="s">
        <v>57</v>
      </c>
      <c r="B6" s="19" t="s">
        <v>58</v>
      </c>
      <c r="C6" s="20" t="s">
        <v>218</v>
      </c>
      <c r="D6" s="19" t="s">
        <v>221</v>
      </c>
      <c r="E6" s="19" t="s">
        <v>25</v>
      </c>
      <c r="F6" s="19" t="s">
        <v>222</v>
      </c>
    </row>
    <row r="7" customFormat="false" ht="23.85" hidden="false" customHeight="false" outlineLevel="0" collapsed="false">
      <c r="A7" s="15" t="s">
        <v>63</v>
      </c>
      <c r="B7" s="16" t="s">
        <v>64</v>
      </c>
      <c r="C7" s="17" t="s">
        <v>218</v>
      </c>
      <c r="D7" s="16" t="s">
        <v>223</v>
      </c>
      <c r="E7" s="16" t="s">
        <v>25</v>
      </c>
      <c r="F7" s="16" t="s">
        <v>224</v>
      </c>
    </row>
    <row r="8" customFormat="false" ht="23.85" hidden="false" customHeight="false" outlineLevel="0" collapsed="false">
      <c r="A8" s="18" t="s">
        <v>69</v>
      </c>
      <c r="B8" s="19" t="s">
        <v>70</v>
      </c>
      <c r="C8" s="20" t="s">
        <v>218</v>
      </c>
      <c r="D8" s="19" t="s">
        <v>225</v>
      </c>
      <c r="E8" s="19" t="s">
        <v>24</v>
      </c>
      <c r="F8" s="19" t="s">
        <v>226</v>
      </c>
    </row>
    <row r="9" customFormat="false" ht="23.85" hidden="false" customHeight="false" outlineLevel="0" collapsed="false">
      <c r="A9" s="15" t="s">
        <v>75</v>
      </c>
      <c r="B9" s="16" t="s">
        <v>76</v>
      </c>
      <c r="C9" s="17" t="s">
        <v>218</v>
      </c>
      <c r="D9" s="16" t="s">
        <v>227</v>
      </c>
      <c r="E9" s="16" t="s">
        <v>26</v>
      </c>
      <c r="F9" s="16" t="s">
        <v>228</v>
      </c>
    </row>
    <row r="10" customFormat="false" ht="23.85" hidden="false" customHeight="false" outlineLevel="0" collapsed="false">
      <c r="A10" s="18" t="s">
        <v>81</v>
      </c>
      <c r="B10" s="19" t="s">
        <v>82</v>
      </c>
      <c r="C10" s="20" t="s">
        <v>218</v>
      </c>
      <c r="D10" s="19" t="s">
        <v>229</v>
      </c>
      <c r="E10" s="19" t="s">
        <v>25</v>
      </c>
      <c r="F10" s="19" t="s">
        <v>230</v>
      </c>
    </row>
    <row r="11" customFormat="false" ht="23.85" hidden="false" customHeight="false" outlineLevel="0" collapsed="false">
      <c r="A11" s="15" t="s">
        <v>87</v>
      </c>
      <c r="B11" s="16" t="s">
        <v>88</v>
      </c>
      <c r="C11" s="17" t="s">
        <v>218</v>
      </c>
      <c r="D11" s="16" t="s">
        <v>231</v>
      </c>
      <c r="E11" s="16" t="s">
        <v>26</v>
      </c>
      <c r="F11" s="16" t="s">
        <v>228</v>
      </c>
    </row>
    <row r="12" customFormat="false" ht="23.85" hidden="false" customHeight="false" outlineLevel="0" collapsed="false">
      <c r="A12" s="18" t="s">
        <v>93</v>
      </c>
      <c r="B12" s="19" t="s">
        <v>94</v>
      </c>
      <c r="C12" s="20" t="s">
        <v>218</v>
      </c>
      <c r="D12" s="19" t="s">
        <v>232</v>
      </c>
      <c r="E12" s="19" t="s">
        <v>25</v>
      </c>
      <c r="F12" s="19" t="s">
        <v>233</v>
      </c>
    </row>
    <row r="13" customFormat="false" ht="23.85" hidden="false" customHeight="false" outlineLevel="0" collapsed="false">
      <c r="A13" s="15" t="s">
        <v>99</v>
      </c>
      <c r="B13" s="16" t="s">
        <v>100</v>
      </c>
      <c r="C13" s="17" t="s">
        <v>218</v>
      </c>
      <c r="D13" s="16" t="s">
        <v>234</v>
      </c>
      <c r="E13" s="16" t="s">
        <v>25</v>
      </c>
      <c r="F13" s="16" t="s">
        <v>235</v>
      </c>
    </row>
    <row r="14" customFormat="false" ht="23.85" hidden="false" customHeight="false" outlineLevel="0" collapsed="false">
      <c r="A14" s="18" t="s">
        <v>105</v>
      </c>
      <c r="B14" s="19" t="s">
        <v>236</v>
      </c>
      <c r="C14" s="20" t="s">
        <v>218</v>
      </c>
      <c r="D14" s="19" t="s">
        <v>237</v>
      </c>
      <c r="E14" s="19" t="s">
        <v>25</v>
      </c>
      <c r="F14" s="19" t="s">
        <v>238</v>
      </c>
    </row>
    <row r="15" customFormat="false" ht="23.85" hidden="false" customHeight="false" outlineLevel="0" collapsed="false">
      <c r="A15" s="15" t="s">
        <v>111</v>
      </c>
      <c r="B15" s="16" t="s">
        <v>239</v>
      </c>
      <c r="C15" s="17" t="s">
        <v>218</v>
      </c>
      <c r="D15" s="16" t="s">
        <v>240</v>
      </c>
      <c r="E15" s="16" t="s">
        <v>25</v>
      </c>
      <c r="F15" s="16" t="s">
        <v>241</v>
      </c>
    </row>
    <row r="16" customFormat="false" ht="23.85" hidden="false" customHeight="false" outlineLevel="0" collapsed="false">
      <c r="A16" s="18" t="s">
        <v>117</v>
      </c>
      <c r="B16" s="19" t="s">
        <v>118</v>
      </c>
      <c r="C16" s="20" t="s">
        <v>218</v>
      </c>
      <c r="D16" s="19" t="s">
        <v>242</v>
      </c>
      <c r="E16" s="19" t="s">
        <v>25</v>
      </c>
      <c r="F16" s="19" t="s">
        <v>243</v>
      </c>
    </row>
    <row r="17" customFormat="false" ht="23.85" hidden="false" customHeight="false" outlineLevel="0" collapsed="false">
      <c r="A17" s="15" t="s">
        <v>123</v>
      </c>
      <c r="B17" s="16" t="s">
        <v>124</v>
      </c>
      <c r="C17" s="17" t="s">
        <v>218</v>
      </c>
      <c r="D17" s="16" t="s">
        <v>244</v>
      </c>
      <c r="E17" s="16" t="s">
        <v>24</v>
      </c>
      <c r="F17" s="16" t="s">
        <v>245</v>
      </c>
    </row>
    <row r="18" customFormat="false" ht="23.85" hidden="false" customHeight="false" outlineLevel="0" collapsed="false">
      <c r="A18" s="18" t="s">
        <v>129</v>
      </c>
      <c r="B18" s="19" t="s">
        <v>130</v>
      </c>
      <c r="C18" s="20" t="s">
        <v>218</v>
      </c>
      <c r="D18" s="19" t="s">
        <v>246</v>
      </c>
      <c r="E18" s="19" t="s">
        <v>24</v>
      </c>
      <c r="F18" s="19" t="s">
        <v>247</v>
      </c>
    </row>
    <row r="19" customFormat="false" ht="23.85" hidden="false" customHeight="false" outlineLevel="0" collapsed="false">
      <c r="A19" s="15" t="s">
        <v>135</v>
      </c>
      <c r="B19" s="16" t="s">
        <v>248</v>
      </c>
      <c r="C19" s="17" t="s">
        <v>218</v>
      </c>
      <c r="D19" s="16" t="s">
        <v>249</v>
      </c>
      <c r="E19" s="16" t="s">
        <v>25</v>
      </c>
      <c r="F19" s="16" t="s">
        <v>250</v>
      </c>
    </row>
    <row r="20" customFormat="false" ht="23.85" hidden="false" customHeight="false" outlineLevel="0" collapsed="false">
      <c r="A20" s="18" t="s">
        <v>141</v>
      </c>
      <c r="B20" s="19" t="s">
        <v>251</v>
      </c>
      <c r="C20" s="20" t="s">
        <v>218</v>
      </c>
      <c r="D20" s="19" t="s">
        <v>252</v>
      </c>
      <c r="E20" s="19" t="s">
        <v>25</v>
      </c>
      <c r="F20" s="19" t="s">
        <v>253</v>
      </c>
    </row>
    <row r="21" customFormat="false" ht="23.85" hidden="false" customHeight="false" outlineLevel="0" collapsed="false">
      <c r="A21" s="15" t="s">
        <v>147</v>
      </c>
      <c r="B21" s="16" t="s">
        <v>148</v>
      </c>
      <c r="C21" s="17" t="s">
        <v>218</v>
      </c>
      <c r="D21" s="16" t="s">
        <v>254</v>
      </c>
      <c r="E21" s="16" t="s">
        <v>24</v>
      </c>
      <c r="F21" s="16" t="s">
        <v>255</v>
      </c>
    </row>
    <row r="22" customFormat="false" ht="23.85" hidden="false" customHeight="false" outlineLevel="0" collapsed="false">
      <c r="A22" s="18" t="s">
        <v>153</v>
      </c>
      <c r="B22" s="19" t="s">
        <v>154</v>
      </c>
      <c r="C22" s="20" t="s">
        <v>218</v>
      </c>
      <c r="D22" s="19" t="s">
        <v>256</v>
      </c>
      <c r="E22" s="19" t="s">
        <v>25</v>
      </c>
      <c r="F22" s="19" t="s">
        <v>257</v>
      </c>
    </row>
    <row r="23" customFormat="false" ht="23.85" hidden="false" customHeight="false" outlineLevel="0" collapsed="false">
      <c r="A23" s="15" t="s">
        <v>159</v>
      </c>
      <c r="B23" s="16" t="s">
        <v>160</v>
      </c>
      <c r="C23" s="17" t="s">
        <v>218</v>
      </c>
      <c r="D23" s="16" t="s">
        <v>258</v>
      </c>
      <c r="E23" s="16" t="s">
        <v>25</v>
      </c>
      <c r="F23" s="16" t="s">
        <v>259</v>
      </c>
    </row>
    <row r="24" customFormat="false" ht="23.85" hidden="false" customHeight="false" outlineLevel="0" collapsed="false">
      <c r="A24" s="18" t="s">
        <v>165</v>
      </c>
      <c r="B24" s="19" t="s">
        <v>166</v>
      </c>
      <c r="C24" s="20" t="s">
        <v>218</v>
      </c>
      <c r="D24" s="19" t="s">
        <v>260</v>
      </c>
      <c r="E24" s="19" t="s">
        <v>25</v>
      </c>
      <c r="F24" s="19" t="s">
        <v>261</v>
      </c>
    </row>
    <row r="25" customFormat="false" ht="23.85" hidden="false" customHeight="false" outlineLevel="0" collapsed="false">
      <c r="A25" s="15" t="s">
        <v>171</v>
      </c>
      <c r="B25" s="16" t="s">
        <v>172</v>
      </c>
      <c r="C25" s="17" t="s">
        <v>218</v>
      </c>
      <c r="D25" s="16" t="s">
        <v>262</v>
      </c>
      <c r="E25" s="16" t="s">
        <v>25</v>
      </c>
      <c r="F25" s="16" t="s">
        <v>263</v>
      </c>
    </row>
    <row r="26" customFormat="false" ht="23.85" hidden="false" customHeight="false" outlineLevel="0" collapsed="false">
      <c r="A26" s="18" t="s">
        <v>177</v>
      </c>
      <c r="B26" s="19" t="s">
        <v>178</v>
      </c>
      <c r="C26" s="20" t="s">
        <v>218</v>
      </c>
      <c r="D26" s="19" t="s">
        <v>264</v>
      </c>
      <c r="E26" s="19" t="s">
        <v>26</v>
      </c>
      <c r="F26" s="19" t="s">
        <v>228</v>
      </c>
    </row>
    <row r="27" customFormat="false" ht="23.85" hidden="false" customHeight="false" outlineLevel="0" collapsed="false">
      <c r="A27" s="15" t="s">
        <v>183</v>
      </c>
      <c r="B27" s="16" t="s">
        <v>184</v>
      </c>
      <c r="C27" s="17" t="s">
        <v>218</v>
      </c>
      <c r="D27" s="16" t="s">
        <v>265</v>
      </c>
      <c r="E27" s="16" t="s">
        <v>25</v>
      </c>
      <c r="F27" s="16" t="s">
        <v>266</v>
      </c>
    </row>
    <row r="28" customFormat="false" ht="23.85" hidden="false" customHeight="false" outlineLevel="0" collapsed="false">
      <c r="A28" s="18" t="s">
        <v>189</v>
      </c>
      <c r="B28" s="19" t="s">
        <v>190</v>
      </c>
      <c r="C28" s="20" t="s">
        <v>218</v>
      </c>
      <c r="D28" s="19" t="s">
        <v>267</v>
      </c>
      <c r="E28" s="19" t="s">
        <v>26</v>
      </c>
      <c r="F28" s="19" t="s">
        <v>228</v>
      </c>
    </row>
    <row r="29" customFormat="false" ht="23.85" hidden="false" customHeight="false" outlineLevel="0" collapsed="false">
      <c r="A29" s="15" t="s">
        <v>195</v>
      </c>
      <c r="B29" s="16" t="s">
        <v>196</v>
      </c>
      <c r="C29" s="17" t="s">
        <v>218</v>
      </c>
      <c r="D29" s="16" t="s">
        <v>268</v>
      </c>
      <c r="E29" s="16" t="s">
        <v>25</v>
      </c>
      <c r="F29" s="16" t="s">
        <v>269</v>
      </c>
    </row>
    <row r="30" customFormat="false" ht="23.85" hidden="false" customHeight="false" outlineLevel="0" collapsed="false">
      <c r="A30" s="18" t="s">
        <v>201</v>
      </c>
      <c r="B30" s="19" t="s">
        <v>202</v>
      </c>
      <c r="C30" s="20" t="s">
        <v>218</v>
      </c>
      <c r="D30" s="19" t="s">
        <v>270</v>
      </c>
      <c r="E30" s="19" t="s">
        <v>25</v>
      </c>
      <c r="F30" s="19" t="s">
        <v>271</v>
      </c>
    </row>
    <row r="31" customFormat="false" ht="23.85" hidden="false" customHeight="false" outlineLevel="0" collapsed="false">
      <c r="A31" s="15" t="s">
        <v>207</v>
      </c>
      <c r="B31" s="16" t="s">
        <v>208</v>
      </c>
      <c r="C31" s="17" t="s">
        <v>218</v>
      </c>
      <c r="D31" s="16" t="s">
        <v>272</v>
      </c>
      <c r="E31" s="16" t="s">
        <v>25</v>
      </c>
      <c r="F31" s="16" t="s">
        <v>273</v>
      </c>
    </row>
  </sheetData>
  <mergeCells count="2">
    <mergeCell ref="A1:F1"/>
    <mergeCell ref="A2:F2"/>
  </mergeCells>
  <conditionalFormatting sqref="C5:C31">
    <cfRule type="cellIs" priority="2" operator="equal" aboveAverage="0" equalAverage="0" bottom="0" percent="0" rank="0" text="" dxfId="14">
      <formula>"Yes"</formula>
    </cfRule>
    <cfRule type="cellIs" priority="3" operator="equal" aboveAverage="0" equalAverage="0" bottom="0" percent="0" rank="0" text="" dxfId="12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5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5" t="s">
        <v>274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customFormat="false" ht="26.85" hidden="false" customHeight="false" outlineLevel="0" collapsed="false">
      <c r="A3" s="23" t="s">
        <v>275</v>
      </c>
      <c r="B3" s="23" t="s">
        <v>276</v>
      </c>
      <c r="C3" s="23" t="s">
        <v>277</v>
      </c>
      <c r="D3" s="23" t="s">
        <v>278</v>
      </c>
      <c r="E3" s="23" t="s">
        <v>279</v>
      </c>
      <c r="F3" s="23" t="s">
        <v>280</v>
      </c>
      <c r="G3" s="23" t="s">
        <v>281</v>
      </c>
      <c r="H3" s="23" t="s">
        <v>282</v>
      </c>
      <c r="I3" s="23" t="s">
        <v>283</v>
      </c>
      <c r="J3" s="23" t="s">
        <v>284</v>
      </c>
      <c r="K3" s="23" t="s">
        <v>285</v>
      </c>
      <c r="L3" s="23" t="s">
        <v>49</v>
      </c>
      <c r="M3" s="23" t="s">
        <v>286</v>
      </c>
      <c r="N3" s="23" t="s">
        <v>287</v>
      </c>
    </row>
    <row r="4" customFormat="false" ht="23.85" hidden="false" customHeight="false" outlineLevel="0" collapsed="false">
      <c r="A4" s="15" t="s">
        <v>288</v>
      </c>
      <c r="B4" s="16" t="s">
        <v>63</v>
      </c>
      <c r="C4" s="16" t="s">
        <v>289</v>
      </c>
      <c r="D4" s="16" t="s">
        <v>290</v>
      </c>
      <c r="E4" s="17" t="n">
        <v>4</v>
      </c>
      <c r="F4" s="17" t="n">
        <v>5</v>
      </c>
      <c r="G4" s="17" t="n">
        <f aca="false">E4*F4</f>
        <v>20</v>
      </c>
      <c r="H4" s="16" t="s">
        <v>291</v>
      </c>
      <c r="I4" s="17" t="n">
        <v>3</v>
      </c>
      <c r="J4" s="17" t="n">
        <v>4</v>
      </c>
      <c r="K4" s="17" t="n">
        <f aca="false">I4*J4</f>
        <v>12</v>
      </c>
      <c r="L4" s="17" t="str">
        <f aca="false">IF(K4&gt;=20,"Critical",IF(K4&gt;=12,"High",IF(K4&gt;=6,"Medium","Low")))</f>
        <v>High</v>
      </c>
      <c r="M4" s="16" t="s">
        <v>292</v>
      </c>
      <c r="N4" s="16" t="s">
        <v>293</v>
      </c>
    </row>
    <row r="5" customFormat="false" ht="23.85" hidden="false" customHeight="false" outlineLevel="0" collapsed="false">
      <c r="A5" s="18" t="s">
        <v>294</v>
      </c>
      <c r="B5" s="19" t="s">
        <v>111</v>
      </c>
      <c r="C5" s="19" t="s">
        <v>295</v>
      </c>
      <c r="D5" s="19" t="s">
        <v>296</v>
      </c>
      <c r="E5" s="20" t="n">
        <v>4</v>
      </c>
      <c r="F5" s="20" t="n">
        <v>5</v>
      </c>
      <c r="G5" s="20" t="n">
        <f aca="false">E5*F5</f>
        <v>20</v>
      </c>
      <c r="H5" s="19" t="s">
        <v>297</v>
      </c>
      <c r="I5" s="20" t="n">
        <v>3</v>
      </c>
      <c r="J5" s="20" t="n">
        <v>5</v>
      </c>
      <c r="K5" s="20" t="n">
        <f aca="false">I5*J5</f>
        <v>15</v>
      </c>
      <c r="L5" s="20" t="str">
        <f aca="false">IF(K5&gt;=20,"Critical",IF(K5&gt;=12,"High",IF(K5&gt;=6,"Medium","Low")))</f>
        <v>High</v>
      </c>
      <c r="M5" s="19" t="s">
        <v>298</v>
      </c>
      <c r="N5" s="19" t="s">
        <v>293</v>
      </c>
    </row>
    <row r="6" customFormat="false" ht="23.85" hidden="false" customHeight="false" outlineLevel="0" collapsed="false">
      <c r="A6" s="15" t="s">
        <v>299</v>
      </c>
      <c r="B6" s="16" t="s">
        <v>177</v>
      </c>
      <c r="C6" s="16" t="s">
        <v>300</v>
      </c>
      <c r="D6" s="16" t="s">
        <v>301</v>
      </c>
      <c r="E6" s="17" t="n">
        <v>4</v>
      </c>
      <c r="F6" s="17" t="n">
        <v>5</v>
      </c>
      <c r="G6" s="17" t="n">
        <f aca="false">E6*F6</f>
        <v>20</v>
      </c>
      <c r="H6" s="16" t="s">
        <v>302</v>
      </c>
      <c r="I6" s="17" t="n">
        <v>4</v>
      </c>
      <c r="J6" s="17" t="n">
        <v>5</v>
      </c>
      <c r="K6" s="17" t="n">
        <f aca="false">I6*J6</f>
        <v>20</v>
      </c>
      <c r="L6" s="17" t="str">
        <f aca="false">IF(K6&gt;=20,"Critical",IF(K6&gt;=12,"High",IF(K6&gt;=6,"Medium","Low")))</f>
        <v>Critical</v>
      </c>
      <c r="M6" s="16" t="s">
        <v>303</v>
      </c>
      <c r="N6" s="16" t="s">
        <v>293</v>
      </c>
    </row>
    <row r="7" customFormat="false" ht="23.85" hidden="false" customHeight="false" outlineLevel="0" collapsed="false">
      <c r="A7" s="18" t="s">
        <v>304</v>
      </c>
      <c r="B7" s="19" t="s">
        <v>189</v>
      </c>
      <c r="C7" s="19" t="s">
        <v>305</v>
      </c>
      <c r="D7" s="19" t="s">
        <v>306</v>
      </c>
      <c r="E7" s="20" t="n">
        <v>3</v>
      </c>
      <c r="F7" s="20" t="n">
        <v>5</v>
      </c>
      <c r="G7" s="20" t="n">
        <f aca="false">E7*F7</f>
        <v>15</v>
      </c>
      <c r="H7" s="19" t="s">
        <v>307</v>
      </c>
      <c r="I7" s="20" t="n">
        <v>3</v>
      </c>
      <c r="J7" s="20" t="n">
        <v>5</v>
      </c>
      <c r="K7" s="20" t="n">
        <f aca="false">I7*J7</f>
        <v>15</v>
      </c>
      <c r="L7" s="20" t="str">
        <f aca="false">IF(K7&gt;=20,"Critical",IF(K7&gt;=12,"High",IF(K7&gt;=6,"Medium","Low")))</f>
        <v>High</v>
      </c>
      <c r="M7" s="19" t="s">
        <v>298</v>
      </c>
      <c r="N7" s="19" t="s">
        <v>293</v>
      </c>
    </row>
    <row r="8" customFormat="false" ht="23.85" hidden="false" customHeight="false" outlineLevel="0" collapsed="false">
      <c r="A8" s="15" t="s">
        <v>308</v>
      </c>
      <c r="B8" s="16" t="s">
        <v>75</v>
      </c>
      <c r="C8" s="16" t="s">
        <v>309</v>
      </c>
      <c r="D8" s="16" t="s">
        <v>310</v>
      </c>
      <c r="E8" s="17" t="n">
        <v>3</v>
      </c>
      <c r="F8" s="17" t="n">
        <v>5</v>
      </c>
      <c r="G8" s="17" t="n">
        <f aca="false">E8*F8</f>
        <v>15</v>
      </c>
      <c r="H8" s="16" t="s">
        <v>311</v>
      </c>
      <c r="I8" s="17" t="n">
        <v>3</v>
      </c>
      <c r="J8" s="17" t="n">
        <v>5</v>
      </c>
      <c r="K8" s="17" t="n">
        <f aca="false">I8*J8</f>
        <v>15</v>
      </c>
      <c r="L8" s="17" t="str">
        <f aca="false">IF(K8&gt;=20,"Critical",IF(K8&gt;=12,"High",IF(K8&gt;=6,"Medium","Low")))</f>
        <v>High</v>
      </c>
      <c r="M8" s="16" t="s">
        <v>312</v>
      </c>
      <c r="N8" s="16" t="s">
        <v>293</v>
      </c>
    </row>
    <row r="9" customFormat="false" ht="23.85" hidden="false" customHeight="false" outlineLevel="0" collapsed="false">
      <c r="A9" s="18" t="s">
        <v>313</v>
      </c>
      <c r="B9" s="19" t="s">
        <v>135</v>
      </c>
      <c r="C9" s="19" t="s">
        <v>314</v>
      </c>
      <c r="D9" s="19" t="s">
        <v>296</v>
      </c>
      <c r="E9" s="20" t="n">
        <v>4</v>
      </c>
      <c r="F9" s="20" t="n">
        <v>4</v>
      </c>
      <c r="G9" s="20" t="n">
        <f aca="false">E9*F9</f>
        <v>16</v>
      </c>
      <c r="H9" s="19" t="s">
        <v>315</v>
      </c>
      <c r="I9" s="20" t="n">
        <v>3</v>
      </c>
      <c r="J9" s="20" t="n">
        <v>4</v>
      </c>
      <c r="K9" s="20" t="n">
        <f aca="false">I9*J9</f>
        <v>12</v>
      </c>
      <c r="L9" s="20" t="str">
        <f aca="false">IF(K9&gt;=20,"Critical",IF(K9&gt;=12,"High",IF(K9&gt;=6,"Medium","Low")))</f>
        <v>High</v>
      </c>
      <c r="M9" s="19" t="s">
        <v>316</v>
      </c>
      <c r="N9" s="19" t="s">
        <v>293</v>
      </c>
    </row>
    <row r="10" customFormat="false" ht="23.85" hidden="false" customHeight="false" outlineLevel="0" collapsed="false">
      <c r="A10" s="15" t="s">
        <v>317</v>
      </c>
      <c r="B10" s="16" t="s">
        <v>171</v>
      </c>
      <c r="C10" s="16" t="s">
        <v>318</v>
      </c>
      <c r="D10" s="16" t="s">
        <v>296</v>
      </c>
      <c r="E10" s="17" t="n">
        <v>4</v>
      </c>
      <c r="F10" s="17" t="n">
        <v>5</v>
      </c>
      <c r="G10" s="17" t="n">
        <f aca="false">E10*F10</f>
        <v>20</v>
      </c>
      <c r="H10" s="16" t="s">
        <v>319</v>
      </c>
      <c r="I10" s="17" t="n">
        <v>3</v>
      </c>
      <c r="J10" s="17" t="n">
        <v>4</v>
      </c>
      <c r="K10" s="17" t="n">
        <f aca="false">I10*J10</f>
        <v>12</v>
      </c>
      <c r="L10" s="17" t="str">
        <f aca="false">IF(K10&gt;=20,"Critical",IF(K10&gt;=12,"High",IF(K10&gt;=6,"Medium","Low")))</f>
        <v>High</v>
      </c>
      <c r="M10" s="16" t="s">
        <v>303</v>
      </c>
      <c r="N10" s="16" t="s">
        <v>293</v>
      </c>
    </row>
    <row r="11" customFormat="false" ht="15" hidden="false" customHeight="false" outlineLevel="0" collapsed="false">
      <c r="A11" s="18" t="s">
        <v>320</v>
      </c>
      <c r="B11" s="19" t="s">
        <v>159</v>
      </c>
      <c r="C11" s="19" t="s">
        <v>321</v>
      </c>
      <c r="D11" s="19" t="s">
        <v>322</v>
      </c>
      <c r="E11" s="20" t="n">
        <v>3</v>
      </c>
      <c r="F11" s="20" t="n">
        <v>4</v>
      </c>
      <c r="G11" s="20" t="n">
        <f aca="false">E11*F11</f>
        <v>12</v>
      </c>
      <c r="H11" s="19" t="s">
        <v>323</v>
      </c>
      <c r="I11" s="20" t="n">
        <v>3</v>
      </c>
      <c r="J11" s="20" t="n">
        <v>4</v>
      </c>
      <c r="K11" s="20" t="n">
        <f aca="false">I11*J11</f>
        <v>12</v>
      </c>
      <c r="L11" s="20" t="str">
        <f aca="false">IF(K11&gt;=20,"Critical",IF(K11&gt;=12,"High",IF(K11&gt;=6,"Medium","Low")))</f>
        <v>High</v>
      </c>
      <c r="M11" s="19" t="s">
        <v>324</v>
      </c>
      <c r="N11" s="19" t="s">
        <v>293</v>
      </c>
    </row>
    <row r="12" customFormat="false" ht="23.85" hidden="false" customHeight="false" outlineLevel="0" collapsed="false">
      <c r="A12" s="15" t="s">
        <v>325</v>
      </c>
      <c r="B12" s="16" t="s">
        <v>93</v>
      </c>
      <c r="C12" s="16" t="s">
        <v>326</v>
      </c>
      <c r="D12" s="16" t="s">
        <v>301</v>
      </c>
      <c r="E12" s="17" t="n">
        <v>4</v>
      </c>
      <c r="F12" s="17" t="n">
        <v>4</v>
      </c>
      <c r="G12" s="17" t="n">
        <f aca="false">E12*F12</f>
        <v>16</v>
      </c>
      <c r="H12" s="16" t="s">
        <v>327</v>
      </c>
      <c r="I12" s="17" t="n">
        <v>3</v>
      </c>
      <c r="J12" s="17" t="n">
        <v>3</v>
      </c>
      <c r="K12" s="17" t="n">
        <f aca="false">I12*J12</f>
        <v>9</v>
      </c>
      <c r="L12" s="17" t="str">
        <f aca="false">IF(K12&gt;=20,"Critical",IF(K12&gt;=12,"High",IF(K12&gt;=6,"Medium","Low")))</f>
        <v>Medium</v>
      </c>
      <c r="M12" s="16" t="s">
        <v>312</v>
      </c>
      <c r="N12" s="16" t="s">
        <v>293</v>
      </c>
    </row>
    <row r="13" customFormat="false" ht="23.85" hidden="false" customHeight="false" outlineLevel="0" collapsed="false">
      <c r="A13" s="18" t="s">
        <v>328</v>
      </c>
      <c r="B13" s="19" t="s">
        <v>105</v>
      </c>
      <c r="C13" s="19" t="s">
        <v>329</v>
      </c>
      <c r="D13" s="19" t="s">
        <v>330</v>
      </c>
      <c r="E13" s="20" t="n">
        <v>2</v>
      </c>
      <c r="F13" s="20" t="n">
        <v>5</v>
      </c>
      <c r="G13" s="20" t="n">
        <f aca="false">E13*F13</f>
        <v>10</v>
      </c>
      <c r="H13" s="19" t="s">
        <v>331</v>
      </c>
      <c r="I13" s="20" t="n">
        <v>2</v>
      </c>
      <c r="J13" s="20" t="n">
        <v>4</v>
      </c>
      <c r="K13" s="20" t="n">
        <f aca="false">I13*J13</f>
        <v>8</v>
      </c>
      <c r="L13" s="20" t="str">
        <f aca="false">IF(K13&gt;=20,"Critical",IF(K13&gt;=12,"High",IF(K13&gt;=6,"Medium","Low")))</f>
        <v>Medium</v>
      </c>
      <c r="M13" s="19" t="s">
        <v>292</v>
      </c>
      <c r="N13" s="19" t="s">
        <v>332</v>
      </c>
    </row>
    <row r="14" customFormat="false" ht="23.85" hidden="false" customHeight="false" outlineLevel="0" collapsed="false">
      <c r="A14" s="15" t="s">
        <v>333</v>
      </c>
      <c r="B14" s="16" t="s">
        <v>201</v>
      </c>
      <c r="C14" s="16" t="s">
        <v>334</v>
      </c>
      <c r="D14" s="16" t="s">
        <v>301</v>
      </c>
      <c r="E14" s="17" t="n">
        <v>4</v>
      </c>
      <c r="F14" s="17" t="n">
        <v>4</v>
      </c>
      <c r="G14" s="17" t="n">
        <f aca="false">E14*F14</f>
        <v>16</v>
      </c>
      <c r="H14" s="16" t="s">
        <v>335</v>
      </c>
      <c r="I14" s="17" t="n">
        <v>3</v>
      </c>
      <c r="J14" s="17" t="n">
        <v>3</v>
      </c>
      <c r="K14" s="17" t="n">
        <f aca="false">I14*J14</f>
        <v>9</v>
      </c>
      <c r="L14" s="17" t="str">
        <f aca="false">IF(K14&gt;=20,"Critical",IF(K14&gt;=12,"High",IF(K14&gt;=6,"Medium","Low")))</f>
        <v>Medium</v>
      </c>
      <c r="M14" s="16" t="s">
        <v>336</v>
      </c>
      <c r="N14" s="16" t="s">
        <v>293</v>
      </c>
    </row>
    <row r="15" customFormat="false" ht="23.85" hidden="false" customHeight="false" outlineLevel="0" collapsed="false">
      <c r="A15" s="18" t="s">
        <v>337</v>
      </c>
      <c r="B15" s="19" t="s">
        <v>147</v>
      </c>
      <c r="C15" s="19" t="s">
        <v>338</v>
      </c>
      <c r="D15" s="19" t="s">
        <v>339</v>
      </c>
      <c r="E15" s="20" t="n">
        <v>2</v>
      </c>
      <c r="F15" s="20" t="n">
        <v>3</v>
      </c>
      <c r="G15" s="20" t="n">
        <f aca="false">E15*F15</f>
        <v>6</v>
      </c>
      <c r="H15" s="19" t="s">
        <v>340</v>
      </c>
      <c r="I15" s="20" t="n">
        <v>2</v>
      </c>
      <c r="J15" s="20" t="n">
        <v>3</v>
      </c>
      <c r="K15" s="20" t="n">
        <f aca="false">I15*J15</f>
        <v>6</v>
      </c>
      <c r="L15" s="20" t="str">
        <f aca="false">IF(K15&gt;=20,"Critical",IF(K15&gt;=12,"High",IF(K15&gt;=6,"Medium","Low")))</f>
        <v>Medium</v>
      </c>
      <c r="M15" s="19" t="s">
        <v>341</v>
      </c>
      <c r="N15" s="19" t="s">
        <v>332</v>
      </c>
    </row>
  </sheetData>
  <mergeCells count="1">
    <mergeCell ref="A1:N1"/>
  </mergeCells>
  <conditionalFormatting sqref="L4:L15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2026-04-28T04:40:34Z</dcterms:created>
  <dc:creator>openpyxl</dc:creator>
  <dc:description/>
  <dc:language>en-US</dc:language>
  <cp:lastModifiedBy/>
  <dcterms:modified xsi:type="dcterms:W3CDTF">2026-04-28T04:40:49Z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