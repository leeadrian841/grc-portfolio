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over" sheetId="2" state="visible" r:id="rId4"/>
    <sheet name="Policy Register" sheetId="3" state="visible" r:id="rId5"/>
    <sheet name="Compliance Mapping" sheetId="4" state="visible" r:id="rId6"/>
    <sheet name="Review Schedule" sheetId="5" state="visible" r:id="rId7"/>
    <sheet name="Exceptions Tracker" sheetId="6" state="visible" r:id="rId8"/>
  </sheets>
  <definedNames>
    <definedName function="false" hidden="true" localSheetId="2" name="_xlnm._FilterDatabase" vbProcedure="false">'Policy Register'!$A$4:$J$11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<sst xmlns="http://schemas.openxmlformats.org/spreadsheetml/2006/main" count="254" uniqueCount="149">
  <si>
    <t xml:space="preserve">Policy Library Dashboard</t>
  </si>
  <si>
    <t xml:space="preserve">Total Policies</t>
  </si>
  <si>
    <t xml:space="preserve">Active</t>
  </si>
  <si>
    <t xml:space="preserve">Reviews Due (&lt;90d)</t>
  </si>
  <si>
    <t xml:space="preserve">Open Exceptions</t>
  </si>
  <si>
    <t xml:space="preserve">Policies by Owner</t>
  </si>
  <si>
    <t xml:space="preserve">Review Status</t>
  </si>
  <si>
    <t xml:space="preserve">Owner</t>
  </si>
  <si>
    <t xml:space="preserve">Count</t>
  </si>
  <si>
    <t xml:space="preserve">Status</t>
  </si>
  <si>
    <t xml:space="preserve">CISO</t>
  </si>
  <si>
    <t xml:space="preserve">On Track</t>
  </si>
  <si>
    <t xml:space="preserve">Data Protection Officer</t>
  </si>
  <si>
    <t xml:space="preserve">Upcoming</t>
  </si>
  <si>
    <t xml:space="preserve">IT Manager</t>
  </si>
  <si>
    <t xml:space="preserve">DUE SOON</t>
  </si>
  <si>
    <t xml:space="preserve">Head of Engineering</t>
  </si>
  <si>
    <t xml:space="preserve">Information Security Policy Register</t>
  </si>
  <si>
    <t xml:space="preserve">Governance and Lifecycle Management of the Policy Library</t>
  </si>
  <si>
    <t xml:space="preserve">Organisation:</t>
  </si>
  <si>
    <t xml:space="preserve">PayWave Solutions Pte. Ltd.</t>
  </si>
  <si>
    <t xml:space="preserve">Document type:</t>
  </si>
  <si>
    <t xml:space="preserve">Policy Register (Governance Document)</t>
  </si>
  <si>
    <t xml:space="preserve">Maintained by:</t>
  </si>
  <si>
    <t xml:space="preserve">GRC Team, reporting to CISO</t>
  </si>
  <si>
    <t xml:space="preserve">Policies tracked:</t>
  </si>
  <si>
    <t xml:space="preserve">7 information security policies</t>
  </si>
  <si>
    <t xml:space="preserve">Review cadence:</t>
  </si>
  <si>
    <t xml:space="preserve">Annual minimum; ad-hoc on regulatory change</t>
  </si>
  <si>
    <t xml:space="preserve">Aligned to:</t>
  </si>
  <si>
    <t xml:space="preserve">ISO 27001:2022 A.5.1, MAS TRM Section 3.2, PDPA Accountability Principle</t>
  </si>
  <si>
    <t xml:space="preserve">Register version:</t>
  </si>
  <si>
    <t xml:space="preserve">1.0</t>
  </si>
  <si>
    <t xml:space="preserve">Effective date:</t>
  </si>
  <si>
    <t xml:space="preserve">15 March 2026</t>
  </si>
  <si>
    <t xml:space="preserve">Next review:</t>
  </si>
  <si>
    <t xml:space="preserve">15 March 2027</t>
  </si>
  <si>
    <t xml:space="preserve">Classification:</t>
  </si>
  <si>
    <t xml:space="preserve">INTERNAL</t>
  </si>
  <si>
    <t xml:space="preserve">This register catalogues all information security policies in force at PayWave Solutions. It is the authoritative source for policy ownership, review cadence, regulatory alignment, and exception tracking. The register is maintained by the GRC team and reviewed quarterly by the Information Security Steering Committee. DISCLAIMER: PayWave Solutions Pte. Ltd. is a fictional company. This register is created for portfolio demonstration purposes.</t>
  </si>
  <si>
    <t xml:space="preserve">PayWave Information Security Policy Register</t>
  </si>
  <si>
    <t xml:space="preserve">All active information security policies | Maintained by the GRC team</t>
  </si>
  <si>
    <t xml:space="preserve">Policy ID</t>
  </si>
  <si>
    <t xml:space="preserve">Policy Title</t>
  </si>
  <si>
    <t xml:space="preserve">Version</t>
  </si>
  <si>
    <t xml:space="preserve">Effective Date</t>
  </si>
  <si>
    <t xml:space="preserve">Last Reviewed</t>
  </si>
  <si>
    <t xml:space="preserve">Next Review</t>
  </si>
  <si>
    <t xml:space="preserve">Approver</t>
  </si>
  <si>
    <t xml:space="preserve">Classification</t>
  </si>
  <si>
    <t xml:space="preserve">POL-001</t>
  </si>
  <si>
    <t xml:space="preserve">Acceptable Use Policy (AUP)</t>
  </si>
  <si>
    <t xml:space="preserve">15 Mar 2026</t>
  </si>
  <si>
    <t xml:space="preserve">15 Mar 2027</t>
  </si>
  <si>
    <t xml:space="preserve">CEO</t>
  </si>
  <si>
    <t xml:space="preserve">POL-002</t>
  </si>
  <si>
    <t xml:space="preserve">Access Control Policy</t>
  </si>
  <si>
    <t xml:space="preserve">POL-003</t>
  </si>
  <si>
    <t xml:space="preserve">Data Classification and Handling Policy</t>
  </si>
  <si>
    <t xml:space="preserve">POL-004</t>
  </si>
  <si>
    <t xml:space="preserve">Incident Response Policy</t>
  </si>
  <si>
    <t xml:space="preserve">CONFIDENTIAL</t>
  </si>
  <si>
    <t xml:space="preserve">POL-005</t>
  </si>
  <si>
    <t xml:space="preserve">Remote Working Policy</t>
  </si>
  <si>
    <t xml:space="preserve">POL-006</t>
  </si>
  <si>
    <t xml:space="preserve">Cryptography Policy</t>
  </si>
  <si>
    <t xml:space="preserve">POL-007</t>
  </si>
  <si>
    <t xml:space="preserve">Secure Software Development Lifecycle Policy</t>
  </si>
  <si>
    <t xml:space="preserve">Policy-to-Regulation Mapping Matrix</t>
  </si>
  <si>
    <t xml:space="preserve">Demonstrates how each policy satisfies specific regulatory and standards requirements. Used during audits to evidence policy coverage of compliance obligations.</t>
  </si>
  <si>
    <t xml:space="preserve">ISO 27001:2022 Annex A</t>
  </si>
  <si>
    <t xml:space="preserve">MAS TRM Sections</t>
  </si>
  <si>
    <t xml:space="preserve">PDPA References</t>
  </si>
  <si>
    <t xml:space="preserve">PCI DSS Requirements</t>
  </si>
  <si>
    <t xml:space="preserve">Other</t>
  </si>
  <si>
    <t xml:space="preserve">A.5.10 (Acceptable use), A.5.11 (Return of assets), A.6.1–6.7 (HR controls)</t>
  </si>
  <si>
    <t xml:space="preserve">3.2 (Risk culture), 3.5 (Awareness)</t>
  </si>
  <si>
    <t xml:space="preserve">Section 24 (Protection obligation)</t>
  </si>
  <si>
    <t xml:space="preserve">Req 12.3 (Usage policies)</t>
  </si>
  <si>
    <t xml:space="preserve">OWASP general guidance</t>
  </si>
  <si>
    <t xml:space="preserve">A.5.15–A.5.18 (Access control), A.8.2–A.8.5 (Identity and privileged access)</t>
  </si>
  <si>
    <t xml:space="preserve">9.1 (Access control), 9.2 (Privileged access)</t>
  </si>
  <si>
    <t xml:space="preserve">Req 7 (Restrict by need-to-know), Req 8 (Identify and authenticate)</t>
  </si>
  <si>
    <t xml:space="preserve">NIST 800-53 AC family</t>
  </si>
  <si>
    <t xml:space="preserve">A.5.12–A.5.14 (Classification, labelling, transfer), A.8.10–A.8.12 (Data handling)</t>
  </si>
  <si>
    <t xml:space="preserve">3.3 (Information asset management), 11 (Data protection)</t>
  </si>
  <si>
    <t xml:space="preserve">Section 11–26 (all 10 obligations apply)</t>
  </si>
  <si>
    <t xml:space="preserve">Req 3 (Protect stored data), Req 9 (Restrict physical access)</t>
  </si>
  <si>
    <t xml:space="preserve">—</t>
  </si>
  <si>
    <t xml:space="preserve">A.5.24–A.5.30 (Incident management), A.6.8 (Reporting events)</t>
  </si>
  <si>
    <t xml:space="preserve">7.5 (Incident management), 8 (System reliability)</t>
  </si>
  <si>
    <t xml:space="preserve">Section 26B (72-hour breach notification)</t>
  </si>
  <si>
    <t xml:space="preserve">Req 12.10 (Incident response plan)</t>
  </si>
  <si>
    <t xml:space="preserve">NIST SP 800-61</t>
  </si>
  <si>
    <t xml:space="preserve">A.6.7 (Remote working), A.7.9 (Security of assets off-premises), A.8.1 (Endpoint devices)</t>
  </si>
  <si>
    <t xml:space="preserve">9.1.6 (Remote access), 9.3 (Endpoint security)</t>
  </si>
  <si>
    <t xml:space="preserve">Req 8.3 (Strong authentication for remote access)</t>
  </si>
  <si>
    <t xml:space="preserve">A.8.24 (Use of cryptography)</t>
  </si>
  <si>
    <t xml:space="preserve">9.4 (Cryptography)</t>
  </si>
  <si>
    <t xml:space="preserve">Req 3 (Protect stored cardholder data), Req 4 (Encrypt transmission)</t>
  </si>
  <si>
    <t xml:space="preserve">NIST FIPS 140-3, SP 800-57</t>
  </si>
  <si>
    <t xml:space="preserve">A.8.25–A.8.31 (Secure development, security testing, change management, separation of environments)</t>
  </si>
  <si>
    <t xml:space="preserve">6.3 (Secure SDLC), 6.4 (Source code management)</t>
  </si>
  <si>
    <t xml:space="preserve">Req 6 (Develop and maintain secure systems)</t>
  </si>
  <si>
    <t xml:space="preserve">OWASP ASVS, SAMM</t>
  </si>
  <si>
    <t xml:space="preserve">Policy Review Schedule and Status Dashboard</t>
  </si>
  <si>
    <t xml:space="preserve">Tracks upcoming policy reviews. Status auto-calculates based on next review date relative to today.</t>
  </si>
  <si>
    <t xml:space="preserve">Days Until Review</t>
  </si>
  <si>
    <t xml:space="preserve">Acceptable Use Policy</t>
  </si>
  <si>
    <t xml:space="preserve">30 May 2026</t>
  </si>
  <si>
    <t xml:space="preserve">15 Apr 2026</t>
  </si>
  <si>
    <t xml:space="preserve">15 Jul 2026</t>
  </si>
  <si>
    <t xml:space="preserve">15 Sep 2026</t>
  </si>
  <si>
    <t xml:space="preserve">Secure SDLC Policy</t>
  </si>
  <si>
    <t xml:space="preserve">15 Nov 2026</t>
  </si>
  <si>
    <t xml:space="preserve">Policy Exceptions Tracker</t>
  </si>
  <si>
    <t xml:space="preserve">Records all approved exceptions to information security policies. Required by ISO 27001 Clause 8.1 and MAS TRM Section 3.6 for risk acceptance documentation.</t>
  </si>
  <si>
    <t xml:space="preserve">Exception ID</t>
  </si>
  <si>
    <t xml:space="preserve">Policy Ref</t>
  </si>
  <si>
    <t xml:space="preserve">Requester</t>
  </si>
  <si>
    <t xml:space="preserve">Justification</t>
  </si>
  <si>
    <t xml:space="preserve">Compensating Controls</t>
  </si>
  <si>
    <t xml:space="preserve">Risk Rating</t>
  </si>
  <si>
    <t xml:space="preserve">Approved By</t>
  </si>
  <si>
    <t xml:space="preserve">Approval Date</t>
  </si>
  <si>
    <t xml:space="preserve">Expiry Date</t>
  </si>
  <si>
    <t xml:space="preserve">EXC-001</t>
  </si>
  <si>
    <t xml:space="preserve">Engineering Lead</t>
  </si>
  <si>
    <t xml:space="preserve">Temporary developer prod read-only access required for time-sensitive payment reconciliation bug investigation. PAM deployment in progress (TRP-001).</t>
  </si>
  <si>
    <t xml:space="preserve">Read-only access only; session recording via CloudTrail; daily review by CISO; expires on PAM go-live</t>
  </si>
  <si>
    <t xml:space="preserve">High</t>
  </si>
  <si>
    <t xml:space="preserve">CISO + CTO</t>
  </si>
  <si>
    <t xml:space="preserve">20 Mar 2026</t>
  </si>
  <si>
    <t xml:space="preserve">30 Jun 2026</t>
  </si>
  <si>
    <t xml:space="preserve">EXC-002</t>
  </si>
  <si>
    <t xml:space="preserve">DevOps Lead</t>
  </si>
  <si>
    <t xml:space="preserve">Legacy payment integration with merchant uses TLS 1.0 (vendor cannot upgrade). Migration to TLS 1.2 endpoint in progress with vendor.</t>
  </si>
  <si>
    <t xml:space="preserve">Traffic restricted to single source IP; payload-level encryption (AES-256) applied above TLS layer; quarterly review</t>
  </si>
  <si>
    <t xml:space="preserve">Medium</t>
  </si>
  <si>
    <t xml:space="preserve">10 Feb 2026</t>
  </si>
  <si>
    <t xml:space="preserve">31 Dec 2026</t>
  </si>
  <si>
    <t xml:space="preserve">EXC-003</t>
  </si>
  <si>
    <t xml:space="preserve">Customer Success Lead</t>
  </si>
  <si>
    <t xml:space="preserve">Customer success agent based in Philippines requires access to PayWave customer support tools (SwiftDesk) from home office.</t>
  </si>
  <si>
    <t xml:space="preserve">MDM enrolled BYOD; VPN mandatory; no Restricted data access; quarterly access review; PDPA cross-border assessment completed</t>
  </si>
  <si>
    <t xml:space="preserve">Low</t>
  </si>
  <si>
    <t xml:space="preserve">CISO + DPO</t>
  </si>
  <si>
    <t xml:space="preserve">5 Jan 2026</t>
  </si>
  <si>
    <t xml:space="preserve">5 Jan 2027</t>
  </si>
</sst>
</file>

<file path=xl/styles.xml><?xml version="1.0" encoding="utf-8"?>
<styleSheet xmlns="http://schemas.openxmlformats.org/spreadsheetml/2006/main">
  <numFmts count="2">
    <numFmt numFmtId="164" formatCode="General"/>
    <numFmt numFmtId="165" formatCode="General"/>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666666"/>
      <name val="Arial"/>
      <family val="0"/>
      <charset val="1"/>
    </font>
    <font>
      <b val="true"/>
      <sz val="22"/>
      <color rgb="FF2E75B6"/>
      <name val="Arial"/>
      <family val="0"/>
      <charset val="1"/>
    </font>
    <font>
      <b val="true"/>
      <sz val="22"/>
      <color rgb="FF538135"/>
      <name val="Arial"/>
      <family val="0"/>
      <charset val="1"/>
    </font>
    <font>
      <b val="true"/>
      <sz val="22"/>
      <color rgb="FFBF8F00"/>
      <name val="Arial"/>
      <family val="0"/>
      <charset val="1"/>
    </font>
    <font>
      <b val="true"/>
      <sz val="22"/>
      <color rgb="FFC00000"/>
      <name val="Arial"/>
      <family val="0"/>
      <charset val="1"/>
    </font>
    <font>
      <b val="true"/>
      <sz val="11"/>
      <color rgb="FF1F3864"/>
      <name val="Arial"/>
      <family val="0"/>
      <charset val="1"/>
    </font>
    <font>
      <b val="true"/>
      <sz val="10"/>
      <name val="Arial"/>
      <family val="0"/>
      <charset val="1"/>
    </font>
    <font>
      <sz val="10"/>
      <name val="Arial"/>
      <family val="0"/>
      <charset val="1"/>
    </font>
    <font>
      <b val="true"/>
      <sz val="18"/>
      <color rgb="FF000000"/>
      <name val="Calibri"/>
      <family val="2"/>
    </font>
    <font>
      <sz val="10"/>
      <color rgb="FF000000"/>
      <name val="Calibri"/>
      <family val="2"/>
    </font>
    <font>
      <b val="true"/>
      <sz val="22"/>
      <color rgb="FF1F3864"/>
      <name val="Arial"/>
      <family val="0"/>
      <charset val="1"/>
    </font>
    <font>
      <sz val="14"/>
      <color rgb="FF2E75B6"/>
      <name val="Arial"/>
      <family val="0"/>
      <charset val="1"/>
    </font>
    <font>
      <i val="true"/>
      <sz val="9"/>
      <color rgb="FF666666"/>
      <name val="Arial"/>
      <family val="0"/>
      <charset val="1"/>
    </font>
    <font>
      <b val="true"/>
      <sz val="11"/>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2F2F2"/>
        <bgColor rgb="FFF9F9F9"/>
      </patternFill>
    </fill>
    <fill>
      <patternFill patternType="solid">
        <fgColor rgb="FF538135"/>
        <bgColor rgb="FF666666"/>
      </patternFill>
    </fill>
    <fill>
      <patternFill patternType="solid">
        <fgColor rgb="FFBF8F00"/>
        <bgColor rgb="FF9C6500"/>
      </patternFill>
    </fill>
    <fill>
      <patternFill patternType="solid">
        <fgColor rgb="FF7030A0"/>
        <bgColor rgb="FF80008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true" applyAlignment="true" applyProtection="false">
      <alignment horizontal="center" vertical="bottom" textRotation="0" wrapText="false" indent="0" shrinkToFit="false"/>
      <protection locked="true" hidden="false"/>
    </xf>
    <xf numFmtId="165" fontId="8" fillId="0" borderId="0" xfId="0" applyFont="true" applyBorder="true" applyAlignment="true" applyProtection="false">
      <alignment horizontal="center" vertical="bottom" textRotation="0" wrapText="false" indent="0" shrinkToFit="false"/>
      <protection locked="true" hidden="false"/>
    </xf>
    <xf numFmtId="165" fontId="9" fillId="0" borderId="0"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006100"/>
          <bgColor rgb="FF000000"/>
        </patternFill>
      </fill>
    </dxf>
    <dxf>
      <font>
        <b val="1"/>
        <color rgb="FF006100"/>
      </font>
      <fill>
        <patternFill>
          <bgColor rgb="FFC6EFCE"/>
        </patternFill>
      </fill>
    </dxf>
    <dxf>
      <font>
        <b val="1"/>
        <color rgb="FF9C6500"/>
      </font>
      <fill>
        <patternFill>
          <bgColor rgb="FFFFEB9C"/>
        </patternFill>
      </fill>
    </dxf>
    <dxf>
      <font>
        <b val="1"/>
        <color rgb="FF9C0006"/>
      </font>
      <fill>
        <patternFill>
          <bgColor rgb="FFFFC7CE"/>
        </patternFill>
      </fill>
    </dxf>
    <dxf>
      <font>
        <b val="1"/>
        <color rgb="FFFFFFFF"/>
      </font>
      <fill>
        <patternFill>
          <bgColor rgb="FFFF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CCCCC"/>
      <rgbColor rgb="FF878787"/>
      <rgbColor rgb="FF9999FF"/>
      <rgbColor rgb="FF7030A0"/>
      <rgbColor rgb="FFF9F9F9"/>
      <rgbColor rgb="FFF2F2F2"/>
      <rgbColor rgb="FF660066"/>
      <rgbColor rgb="FFFF8080"/>
      <rgbColor rgb="FF0066CC"/>
      <rgbColor rgb="FFD9D9D9"/>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2E75B6"/>
      <rgbColor rgb="FF33CCCC"/>
      <rgbColor rgb="FF9BBB59"/>
      <rgbColor rgb="FFFFCC00"/>
      <rgbColor rgb="FFBF8F00"/>
      <rgbColor rgb="FFFF6600"/>
      <rgbColor rgb="FF8064A2"/>
      <rgbColor rgb="FF4F81BD"/>
      <rgbColor rgb="FF1F3864"/>
      <rgbColor rgb="FF538135"/>
      <rgbColor rgb="FF003300"/>
      <rgbColor rgb="FF333300"/>
      <rgbColor rgb="FF993300"/>
      <rgbColor rgb="FFC0504D"/>
      <rgbColor rgb="FF66666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Policy ownership distribution</a:t>
            </a:r>
          </a:p>
        </c:rich>
      </c:tx>
      <c:overlay val="0"/>
      <c:spPr>
        <a:noFill/>
        <a:ln w="0">
          <a:noFill/>
        </a:ln>
      </c:spPr>
    </c:title>
    <c:autoTitleDeleted val="0"/>
    <c:plotArea>
      <c:pieChart>
        <c:varyColors val="1"/>
        <c:ser>
          <c:idx val="0"/>
          <c:order val="0"/>
          <c:tx>
            <c:strRef>
              <c:f>Dashboard!B8</c:f>
              <c:strCache>
                <c:ptCount val="1"/>
                <c:pt idx="0">
                  <c:v>Count</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Dashboard!$A$9:$A$12</c:f>
              <c:strCache>
                <c:ptCount val="4"/>
                <c:pt idx="0">
                  <c:v>CISO</c:v>
                </c:pt>
                <c:pt idx="1">
                  <c:v>Data Protection Officer</c:v>
                </c:pt>
                <c:pt idx="2">
                  <c:v>IT Manager</c:v>
                </c:pt>
                <c:pt idx="3">
                  <c:v>Head of Engineering</c:v>
                </c:pt>
              </c:strCache>
            </c:strRef>
          </c:cat>
          <c:val>
            <c:numRef>
              <c:f>Dashboard!$B$9:$B$12</c:f>
              <c:numCache>
                <c:formatCode>General</c:formatCode>
                <c:ptCount val="4"/>
                <c:pt idx="0">
                  <c:v>3</c:v>
                </c:pt>
                <c:pt idx="1">
                  <c:v>1</c:v>
                </c:pt>
                <c:pt idx="2">
                  <c:v>1</c:v>
                </c:pt>
                <c:pt idx="3">
                  <c:v>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Review status</a:t>
            </a:r>
          </a:p>
        </c:rich>
      </c:tx>
      <c:overlay val="0"/>
      <c:spPr>
        <a:noFill/>
        <a:ln w="0">
          <a:noFill/>
        </a:ln>
      </c:spPr>
    </c:title>
    <c:autoTitleDeleted val="0"/>
    <c:plotArea>
      <c:barChart>
        <c:barDir val="col"/>
        <c:grouping val="clustered"/>
        <c:varyColors val="0"/>
        <c:ser>
          <c:idx val="0"/>
          <c:order val="0"/>
          <c:tx>
            <c:strRef>
              <c:f>Dashboard!E8</c:f>
              <c:strCache>
                <c:ptCount val="1"/>
                <c:pt idx="0">
                  <c:v>Count</c:v>
                </c:pt>
              </c:strCache>
            </c:strRef>
          </c:tx>
          <c:spPr>
            <a:solidFill>
              <a:srgbClr val="2e75b6"/>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Dashboard!$D$9:$D$11</c:f>
              <c:strCache>
                <c:ptCount val="3"/>
                <c:pt idx="0">
                  <c:v>On Track</c:v>
                </c:pt>
                <c:pt idx="1">
                  <c:v>Upcoming</c:v>
                </c:pt>
                <c:pt idx="2">
                  <c:v>DUE SOON</c:v>
                </c:pt>
              </c:strCache>
            </c:strRef>
          </c:cat>
          <c:val>
            <c:numRef>
              <c:f>Dashboard!$E$9:$E$11</c:f>
              <c:numCache>
                <c:formatCode>General</c:formatCode>
                <c:ptCount val="3"/>
                <c:pt idx="0">
                  <c:v>5</c:v>
                </c:pt>
                <c:pt idx="1">
                  <c:v>2</c:v>
                </c:pt>
                <c:pt idx="2">
                  <c:v>0</c:v>
                </c:pt>
              </c:numCache>
            </c:numRef>
          </c:val>
        </c:ser>
        <c:gapWidth val="150"/>
        <c:overlap val="0"/>
        <c:axId val="4148377"/>
        <c:axId val="47954192"/>
      </c:barChart>
      <c:catAx>
        <c:axId val="41483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954192"/>
        <c:crosses val="autoZero"/>
        <c:auto val="1"/>
        <c:lblAlgn val="ctr"/>
        <c:lblOffset val="100"/>
        <c:noMultiLvlLbl val="0"/>
      </c:catAx>
      <c:valAx>
        <c:axId val="4795419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483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10800</xdr:rowOff>
    </xdr:from>
    <xdr:to>
      <xdr:col>3</xdr:col>
      <xdr:colOff>1233360</xdr:colOff>
      <xdr:row>31</xdr:row>
      <xdr:rowOff>181440</xdr:rowOff>
    </xdr:to>
    <xdr:graphicFrame>
      <xdr:nvGraphicFramePr>
        <xdr:cNvPr id="0" name="Chart 1"/>
        <xdr:cNvGraphicFramePr/>
      </xdr:nvGraphicFramePr>
      <xdr:xfrm>
        <a:off x="0" y="2666880"/>
        <a:ext cx="50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13</xdr:row>
      <xdr:rowOff>10800</xdr:rowOff>
    </xdr:from>
    <xdr:to>
      <xdr:col>10</xdr:col>
      <xdr:colOff>10440</xdr:colOff>
      <xdr:row>31</xdr:row>
      <xdr:rowOff>181440</xdr:rowOff>
    </xdr:to>
    <xdr:graphicFrame>
      <xdr:nvGraphicFramePr>
        <xdr:cNvPr id="1" name="Chart 2"/>
        <xdr:cNvGraphicFramePr/>
      </xdr:nvGraphicFramePr>
      <xdr:xfrm>
        <a:off x="6343560" y="2666880"/>
        <a:ext cx="503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8"/>
  </cols>
  <sheetData>
    <row r="1" customFormat="false" ht="17.35" hidden="false" customHeight="false" outlineLevel="0" collapsed="false">
      <c r="A1" s="1" t="s">
        <v>0</v>
      </c>
      <c r="B1" s="1"/>
      <c r="C1" s="1"/>
      <c r="D1" s="1"/>
      <c r="E1" s="1"/>
      <c r="F1" s="1"/>
      <c r="G1" s="1"/>
      <c r="H1" s="1"/>
    </row>
    <row r="3" customFormat="false" ht="15" hidden="false" customHeight="false" outlineLevel="0" collapsed="false">
      <c r="A3" s="2" t="s">
        <v>1</v>
      </c>
      <c r="B3" s="2"/>
      <c r="C3" s="2" t="s">
        <v>2</v>
      </c>
      <c r="D3" s="2"/>
      <c r="E3" s="2" t="s">
        <v>3</v>
      </c>
      <c r="F3" s="2"/>
      <c r="G3" s="2" t="s">
        <v>4</v>
      </c>
      <c r="H3" s="2"/>
    </row>
    <row r="4" customFormat="false" ht="26.8" hidden="false" customHeight="false" outlineLevel="0" collapsed="false">
      <c r="A4" s="3" t="n">
        <f aca="false">COUNTA('Policy Register'!A5:A11)</f>
        <v>7</v>
      </c>
      <c r="B4" s="3"/>
      <c r="C4" s="4" t="n">
        <f aca="false">COUNTIF('Policy Register'!J5:J11,"Active")</f>
        <v>7</v>
      </c>
      <c r="D4" s="4"/>
      <c r="E4" s="5" t="n">
        <f aca="false">COUNTIF('Review Schedule'!F5:F11,"Upcoming")+COUNTIF('Review Schedule'!F5:F11,"DUE SOON")</f>
        <v>2</v>
      </c>
      <c r="F4" s="5"/>
      <c r="G4" s="6" t="n">
        <f aca="false">COUNTA('Exceptions Tracker'!A5:A7)</f>
        <v>3</v>
      </c>
      <c r="H4" s="6"/>
    </row>
    <row r="7" customFormat="false" ht="15" hidden="false" customHeight="false" outlineLevel="0" collapsed="false">
      <c r="A7" s="7" t="s">
        <v>5</v>
      </c>
      <c r="D7" s="7" t="s">
        <v>6</v>
      </c>
    </row>
    <row r="8" customFormat="false" ht="15" hidden="false" customHeight="false" outlineLevel="0" collapsed="false">
      <c r="A8" s="8" t="s">
        <v>7</v>
      </c>
      <c r="B8" s="8" t="s">
        <v>8</v>
      </c>
      <c r="D8" s="8" t="s">
        <v>9</v>
      </c>
      <c r="E8" s="8" t="s">
        <v>8</v>
      </c>
    </row>
    <row r="9" customFormat="false" ht="15" hidden="false" customHeight="false" outlineLevel="0" collapsed="false">
      <c r="A9" s="9" t="s">
        <v>10</v>
      </c>
      <c r="B9" s="9" t="n">
        <f aca="false">COUNTIF('Policy Register'!G5:G11,"CISO")</f>
        <v>3</v>
      </c>
      <c r="D9" s="9" t="s">
        <v>11</v>
      </c>
      <c r="E9" s="9" t="n">
        <f aca="false">COUNTIF('Review Schedule'!F5:F11,"On Track")</f>
        <v>5</v>
      </c>
    </row>
    <row r="10" customFormat="false" ht="15" hidden="false" customHeight="false" outlineLevel="0" collapsed="false">
      <c r="A10" s="9" t="s">
        <v>12</v>
      </c>
      <c r="B10" s="9" t="n">
        <f aca="false">COUNTIF('Policy Register'!G5:G11,"Data Protection Officer")</f>
        <v>1</v>
      </c>
      <c r="D10" s="9" t="s">
        <v>13</v>
      </c>
      <c r="E10" s="9" t="n">
        <f aca="false">COUNTIF('Review Schedule'!F5:F11,"Upcoming")</f>
        <v>2</v>
      </c>
    </row>
    <row r="11" customFormat="false" ht="15" hidden="false" customHeight="false" outlineLevel="0" collapsed="false">
      <c r="A11" s="9" t="s">
        <v>14</v>
      </c>
      <c r="B11" s="9" t="n">
        <f aca="false">COUNTIF('Policy Register'!G5:G11,"IT Manager")</f>
        <v>1</v>
      </c>
      <c r="D11" s="9" t="s">
        <v>15</v>
      </c>
      <c r="E11" s="9" t="n">
        <f aca="false">COUNTIF('Review Schedule'!F5:F11,"DUE SOON")</f>
        <v>0</v>
      </c>
    </row>
    <row r="12" customFormat="false" ht="15" hidden="false" customHeight="false" outlineLevel="0" collapsed="false">
      <c r="A12" s="9" t="s">
        <v>16</v>
      </c>
      <c r="B12" s="9" t="n">
        <f aca="false">COUNTIF('Policy Register'!G5:G11,"Head of Engineering")</f>
        <v>2</v>
      </c>
    </row>
  </sheetData>
  <mergeCells count="9">
    <mergeCell ref="A1:H1"/>
    <mergeCell ref="A3:B3"/>
    <mergeCell ref="C3:D3"/>
    <mergeCell ref="E3:F3"/>
    <mergeCell ref="G3:H3"/>
    <mergeCell ref="A4:B4"/>
    <mergeCell ref="C4:D4"/>
    <mergeCell ref="E4:F4"/>
    <mergeCell ref="G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3: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7" min="3" style="0" width="16"/>
  </cols>
  <sheetData>
    <row r="3" customFormat="false" ht="26.8" hidden="false" customHeight="false" outlineLevel="0" collapsed="false">
      <c r="B3" s="10" t="s">
        <v>17</v>
      </c>
      <c r="C3" s="10"/>
      <c r="D3" s="10"/>
      <c r="E3" s="10"/>
      <c r="F3" s="10"/>
      <c r="G3" s="10"/>
    </row>
    <row r="4" customFormat="false" ht="17.35" hidden="false" customHeight="false" outlineLevel="0" collapsed="false">
      <c r="B4" s="11" t="s">
        <v>18</v>
      </c>
      <c r="C4" s="11"/>
      <c r="D4" s="11"/>
      <c r="E4" s="11"/>
      <c r="F4" s="11"/>
      <c r="G4" s="11"/>
    </row>
    <row r="7" customFormat="false" ht="15" hidden="false" customHeight="false" outlineLevel="0" collapsed="false">
      <c r="B7" s="8" t="s">
        <v>19</v>
      </c>
      <c r="C7" s="12" t="s">
        <v>20</v>
      </c>
      <c r="D7" s="12"/>
      <c r="E7" s="12"/>
      <c r="F7" s="12"/>
      <c r="G7" s="12"/>
    </row>
    <row r="8" customFormat="false" ht="15" hidden="false" customHeight="false" outlineLevel="0" collapsed="false">
      <c r="B8" s="8" t="s">
        <v>21</v>
      </c>
      <c r="C8" s="12" t="s">
        <v>22</v>
      </c>
      <c r="D8" s="12"/>
      <c r="E8" s="12"/>
      <c r="F8" s="12"/>
      <c r="G8" s="12"/>
    </row>
    <row r="9" customFormat="false" ht="15" hidden="false" customHeight="false" outlineLevel="0" collapsed="false">
      <c r="B9" s="8" t="s">
        <v>23</v>
      </c>
      <c r="C9" s="12" t="s">
        <v>24</v>
      </c>
      <c r="D9" s="12"/>
      <c r="E9" s="12"/>
      <c r="F9" s="12"/>
      <c r="G9" s="12"/>
    </row>
    <row r="10" customFormat="false" ht="15" hidden="false" customHeight="false" outlineLevel="0" collapsed="false">
      <c r="B10" s="8" t="s">
        <v>25</v>
      </c>
      <c r="C10" s="12" t="s">
        <v>26</v>
      </c>
      <c r="D10" s="12"/>
      <c r="E10" s="12"/>
      <c r="F10" s="12"/>
      <c r="G10" s="12"/>
    </row>
    <row r="11" customFormat="false" ht="15" hidden="false" customHeight="false" outlineLevel="0" collapsed="false">
      <c r="B11" s="8" t="s">
        <v>27</v>
      </c>
      <c r="C11" s="12" t="s">
        <v>28</v>
      </c>
      <c r="D11" s="12"/>
      <c r="E11" s="12"/>
      <c r="F11" s="12"/>
      <c r="G11" s="12"/>
    </row>
    <row r="12" customFormat="false" ht="15" hidden="false" customHeight="false" outlineLevel="0" collapsed="false">
      <c r="B12" s="8" t="s">
        <v>29</v>
      </c>
      <c r="C12" s="12" t="s">
        <v>30</v>
      </c>
      <c r="D12" s="12"/>
      <c r="E12" s="12"/>
      <c r="F12" s="12"/>
      <c r="G12" s="12"/>
    </row>
    <row r="13" customFormat="false" ht="15" hidden="false" customHeight="false" outlineLevel="0" collapsed="false">
      <c r="B13" s="8" t="s">
        <v>31</v>
      </c>
      <c r="C13" s="12" t="s">
        <v>32</v>
      </c>
      <c r="D13" s="12"/>
      <c r="E13" s="12"/>
      <c r="F13" s="12"/>
      <c r="G13" s="12"/>
    </row>
    <row r="14" customFormat="false" ht="15" hidden="false" customHeight="false" outlineLevel="0" collapsed="false">
      <c r="B14" s="8" t="s">
        <v>33</v>
      </c>
      <c r="C14" s="12" t="s">
        <v>34</v>
      </c>
      <c r="D14" s="12"/>
      <c r="E14" s="12"/>
      <c r="F14" s="12"/>
      <c r="G14" s="12"/>
    </row>
    <row r="15" customFormat="false" ht="15" hidden="false" customHeight="false" outlineLevel="0" collapsed="false">
      <c r="B15" s="8" t="s">
        <v>35</v>
      </c>
      <c r="C15" s="12" t="s">
        <v>36</v>
      </c>
      <c r="D15" s="12"/>
      <c r="E15" s="12"/>
      <c r="F15" s="12"/>
      <c r="G15" s="12"/>
    </row>
    <row r="16" customFormat="false" ht="15" hidden="false" customHeight="false" outlineLevel="0" collapsed="false">
      <c r="B16" s="8" t="s">
        <v>37</v>
      </c>
      <c r="C16" s="12" t="s">
        <v>38</v>
      </c>
      <c r="D16" s="12"/>
      <c r="E16" s="12"/>
      <c r="F16" s="12"/>
      <c r="G16" s="12"/>
    </row>
    <row r="19" customFormat="false" ht="15" hidden="false" customHeight="true" outlineLevel="0" collapsed="false">
      <c r="B19" s="13" t="s">
        <v>39</v>
      </c>
      <c r="C19" s="13"/>
      <c r="D19" s="13"/>
      <c r="E19" s="13"/>
      <c r="F19" s="13"/>
      <c r="G19" s="13"/>
    </row>
    <row r="20" customFormat="false" ht="15" hidden="false" customHeight="false" outlineLevel="0" collapsed="false">
      <c r="B20" s="13"/>
      <c r="C20" s="13"/>
      <c r="D20" s="13"/>
      <c r="E20" s="13"/>
      <c r="F20" s="13"/>
      <c r="G20" s="13"/>
    </row>
    <row r="21" customFormat="false" ht="15" hidden="false" customHeight="false" outlineLevel="0" collapsed="false">
      <c r="B21" s="13"/>
      <c r="C21" s="13"/>
      <c r="D21" s="13"/>
      <c r="E21" s="13"/>
      <c r="F21" s="13"/>
      <c r="G21" s="13"/>
    </row>
    <row r="22" customFormat="false" ht="15" hidden="false" customHeight="false" outlineLevel="0" collapsed="false">
      <c r="B22" s="13"/>
      <c r="C22" s="13"/>
      <c r="D22" s="13"/>
      <c r="E22" s="13"/>
      <c r="F22" s="13"/>
      <c r="G22" s="13"/>
    </row>
  </sheetData>
  <mergeCells count="13">
    <mergeCell ref="B3:G3"/>
    <mergeCell ref="B4:G4"/>
    <mergeCell ref="C7:G7"/>
    <mergeCell ref="C8:G8"/>
    <mergeCell ref="C9:G9"/>
    <mergeCell ref="C10:G10"/>
    <mergeCell ref="C11:G11"/>
    <mergeCell ref="C12:G12"/>
    <mergeCell ref="C13:G13"/>
    <mergeCell ref="C14:G14"/>
    <mergeCell ref="C15:G15"/>
    <mergeCell ref="C16:G16"/>
    <mergeCell ref="B19: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9"/>
    <col collapsed="false" customWidth="true" hidden="false" outlineLevel="0" max="6" min="4" style="0" width="13"/>
    <col collapsed="false" customWidth="true" hidden="false" outlineLevel="0" max="7" min="7" style="0" width="20"/>
    <col collapsed="false" customWidth="true" hidden="false" outlineLevel="0" max="8" min="8" style="0" width="18"/>
    <col collapsed="false" customWidth="true" hidden="false" outlineLevel="0" max="9" min="9" style="0" width="14"/>
    <col collapsed="false" customWidth="true" hidden="false" outlineLevel="0" max="10" min="10" style="0" width="12"/>
  </cols>
  <sheetData>
    <row r="1" customFormat="false" ht="17.35" hidden="false" customHeight="false" outlineLevel="0" collapsed="false">
      <c r="A1" s="1" t="s">
        <v>40</v>
      </c>
      <c r="B1" s="1"/>
      <c r="C1" s="1"/>
      <c r="D1" s="1"/>
      <c r="E1" s="1"/>
      <c r="F1" s="1"/>
      <c r="G1" s="1"/>
      <c r="H1" s="1"/>
      <c r="I1" s="1"/>
      <c r="J1" s="1"/>
    </row>
    <row r="2" customFormat="false" ht="15" hidden="false" customHeight="false" outlineLevel="0" collapsed="false">
      <c r="A2" s="14" t="s">
        <v>41</v>
      </c>
      <c r="B2" s="14"/>
      <c r="C2" s="14"/>
      <c r="D2" s="14"/>
      <c r="E2" s="14"/>
      <c r="F2" s="14"/>
      <c r="G2" s="14"/>
      <c r="H2" s="14"/>
      <c r="I2" s="14"/>
      <c r="J2" s="14"/>
    </row>
    <row r="4" customFormat="false" ht="26.85" hidden="false" customHeight="false" outlineLevel="0" collapsed="false">
      <c r="A4" s="15" t="s">
        <v>42</v>
      </c>
      <c r="B4" s="15" t="s">
        <v>43</v>
      </c>
      <c r="C4" s="15" t="s">
        <v>44</v>
      </c>
      <c r="D4" s="15" t="s">
        <v>45</v>
      </c>
      <c r="E4" s="15" t="s">
        <v>46</v>
      </c>
      <c r="F4" s="15" t="s">
        <v>47</v>
      </c>
      <c r="G4" s="15" t="s">
        <v>7</v>
      </c>
      <c r="H4" s="15" t="s">
        <v>48</v>
      </c>
      <c r="I4" s="15" t="s">
        <v>49</v>
      </c>
      <c r="J4" s="15" t="s">
        <v>9</v>
      </c>
    </row>
    <row r="5" customFormat="false" ht="15" hidden="false" customHeight="false" outlineLevel="0" collapsed="false">
      <c r="A5" s="16" t="s">
        <v>50</v>
      </c>
      <c r="B5" s="17" t="s">
        <v>51</v>
      </c>
      <c r="C5" s="18" t="s">
        <v>32</v>
      </c>
      <c r="D5" s="18" t="s">
        <v>52</v>
      </c>
      <c r="E5" s="18" t="s">
        <v>52</v>
      </c>
      <c r="F5" s="18" t="s">
        <v>53</v>
      </c>
      <c r="G5" s="17" t="s">
        <v>10</v>
      </c>
      <c r="H5" s="17" t="s">
        <v>54</v>
      </c>
      <c r="I5" s="18" t="s">
        <v>38</v>
      </c>
      <c r="J5" s="18" t="s">
        <v>2</v>
      </c>
    </row>
    <row r="6" customFormat="false" ht="15" hidden="false" customHeight="false" outlineLevel="0" collapsed="false">
      <c r="A6" s="19" t="s">
        <v>55</v>
      </c>
      <c r="B6" s="20" t="s">
        <v>56</v>
      </c>
      <c r="C6" s="21" t="s">
        <v>32</v>
      </c>
      <c r="D6" s="21" t="s">
        <v>52</v>
      </c>
      <c r="E6" s="21" t="s">
        <v>52</v>
      </c>
      <c r="F6" s="21" t="s">
        <v>53</v>
      </c>
      <c r="G6" s="20" t="s">
        <v>10</v>
      </c>
      <c r="H6" s="20" t="s">
        <v>54</v>
      </c>
      <c r="I6" s="21" t="s">
        <v>38</v>
      </c>
      <c r="J6" s="21" t="s">
        <v>2</v>
      </c>
    </row>
    <row r="7" customFormat="false" ht="15" hidden="false" customHeight="false" outlineLevel="0" collapsed="false">
      <c r="A7" s="16" t="s">
        <v>57</v>
      </c>
      <c r="B7" s="17" t="s">
        <v>58</v>
      </c>
      <c r="C7" s="18" t="s">
        <v>32</v>
      </c>
      <c r="D7" s="18" t="s">
        <v>52</v>
      </c>
      <c r="E7" s="18" t="s">
        <v>52</v>
      </c>
      <c r="F7" s="18" t="s">
        <v>53</v>
      </c>
      <c r="G7" s="17" t="s">
        <v>12</v>
      </c>
      <c r="H7" s="17" t="s">
        <v>10</v>
      </c>
      <c r="I7" s="18" t="s">
        <v>38</v>
      </c>
      <c r="J7" s="18" t="s">
        <v>2</v>
      </c>
    </row>
    <row r="8" customFormat="false" ht="15" hidden="false" customHeight="false" outlineLevel="0" collapsed="false">
      <c r="A8" s="19" t="s">
        <v>59</v>
      </c>
      <c r="B8" s="20" t="s">
        <v>60</v>
      </c>
      <c r="C8" s="21" t="s">
        <v>32</v>
      </c>
      <c r="D8" s="21" t="s">
        <v>52</v>
      </c>
      <c r="E8" s="21" t="s">
        <v>52</v>
      </c>
      <c r="F8" s="21" t="s">
        <v>53</v>
      </c>
      <c r="G8" s="20" t="s">
        <v>10</v>
      </c>
      <c r="H8" s="20" t="s">
        <v>54</v>
      </c>
      <c r="I8" s="21" t="s">
        <v>61</v>
      </c>
      <c r="J8" s="21" t="s">
        <v>2</v>
      </c>
    </row>
    <row r="9" customFormat="false" ht="15" hidden="false" customHeight="false" outlineLevel="0" collapsed="false">
      <c r="A9" s="16" t="s">
        <v>62</v>
      </c>
      <c r="B9" s="17" t="s">
        <v>63</v>
      </c>
      <c r="C9" s="18" t="s">
        <v>32</v>
      </c>
      <c r="D9" s="18" t="s">
        <v>52</v>
      </c>
      <c r="E9" s="18" t="s">
        <v>52</v>
      </c>
      <c r="F9" s="18" t="s">
        <v>53</v>
      </c>
      <c r="G9" s="17" t="s">
        <v>14</v>
      </c>
      <c r="H9" s="17" t="s">
        <v>10</v>
      </c>
      <c r="I9" s="18" t="s">
        <v>38</v>
      </c>
      <c r="J9" s="18" t="s">
        <v>2</v>
      </c>
    </row>
    <row r="10" customFormat="false" ht="15" hidden="false" customHeight="false" outlineLevel="0" collapsed="false">
      <c r="A10" s="19" t="s">
        <v>64</v>
      </c>
      <c r="B10" s="20" t="s">
        <v>65</v>
      </c>
      <c r="C10" s="21" t="s">
        <v>32</v>
      </c>
      <c r="D10" s="21" t="s">
        <v>52</v>
      </c>
      <c r="E10" s="21" t="s">
        <v>52</v>
      </c>
      <c r="F10" s="21" t="s">
        <v>53</v>
      </c>
      <c r="G10" s="20" t="s">
        <v>16</v>
      </c>
      <c r="H10" s="20" t="s">
        <v>10</v>
      </c>
      <c r="I10" s="21" t="s">
        <v>61</v>
      </c>
      <c r="J10" s="21" t="s">
        <v>2</v>
      </c>
    </row>
    <row r="11" customFormat="false" ht="15" hidden="false" customHeight="false" outlineLevel="0" collapsed="false">
      <c r="A11" s="16" t="s">
        <v>66</v>
      </c>
      <c r="B11" s="17" t="s">
        <v>67</v>
      </c>
      <c r="C11" s="18" t="s">
        <v>32</v>
      </c>
      <c r="D11" s="18" t="s">
        <v>52</v>
      </c>
      <c r="E11" s="18" t="s">
        <v>52</v>
      </c>
      <c r="F11" s="18" t="s">
        <v>53</v>
      </c>
      <c r="G11" s="17" t="s">
        <v>16</v>
      </c>
      <c r="H11" s="17" t="s">
        <v>10</v>
      </c>
      <c r="I11" s="18" t="s">
        <v>38</v>
      </c>
      <c r="J11" s="18" t="s">
        <v>2</v>
      </c>
    </row>
  </sheetData>
  <autoFilter ref="A4:J11"/>
  <mergeCells count="2">
    <mergeCell ref="A1:J1"/>
    <mergeCell ref="A2:J2"/>
  </mergeCells>
  <conditionalFormatting sqref="J5:J11">
    <cfRule type="cellIs" priority="2" operator="equal" aboveAverage="0" equalAverage="0" bottom="0" percent="0" rank="0" text="" dxfId="6">
      <formula>"Active"</formula>
    </cfRule>
    <cfRule type="cellIs" priority="3" operator="equal" aboveAverage="0" equalAverage="0" bottom="0" percent="0" rank="0" text="" dxfId="7">
      <formula>"Under Review"</formula>
    </cfRule>
    <cfRule type="cellIs" priority="4" operator="equal" aboveAverage="0" equalAverage="0" bottom="0" percent="0" rank="0" text="" dxfId="8">
      <formula>"Retired"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8135"/>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5" min="3" style="0" width="22"/>
    <col collapsed="false" customWidth="true" hidden="false" outlineLevel="0" max="6" min="6" style="0" width="20"/>
  </cols>
  <sheetData>
    <row r="1" customFormat="false" ht="17.35" hidden="false" customHeight="false" outlineLevel="0" collapsed="false">
      <c r="A1" s="1" t="s">
        <v>68</v>
      </c>
      <c r="B1" s="1"/>
      <c r="C1" s="1"/>
      <c r="D1" s="1"/>
      <c r="E1" s="1"/>
      <c r="F1" s="1"/>
    </row>
    <row r="2" customFormat="false" ht="15" hidden="false" customHeight="false" outlineLevel="0" collapsed="false">
      <c r="A2" s="14" t="s">
        <v>69</v>
      </c>
      <c r="B2" s="14"/>
      <c r="C2" s="14"/>
      <c r="D2" s="14"/>
      <c r="E2" s="14"/>
      <c r="F2" s="14"/>
    </row>
    <row r="4" customFormat="false" ht="26.85" hidden="false" customHeight="false" outlineLevel="0" collapsed="false">
      <c r="A4" s="22" t="s">
        <v>42</v>
      </c>
      <c r="B4" s="22" t="s">
        <v>70</v>
      </c>
      <c r="C4" s="22" t="s">
        <v>71</v>
      </c>
      <c r="D4" s="22" t="s">
        <v>72</v>
      </c>
      <c r="E4" s="22" t="s">
        <v>73</v>
      </c>
      <c r="F4" s="22" t="s">
        <v>74</v>
      </c>
    </row>
    <row r="5" customFormat="false" ht="35.05" hidden="false" customHeight="false" outlineLevel="0" collapsed="false">
      <c r="A5" s="16" t="s">
        <v>50</v>
      </c>
      <c r="B5" s="17" t="s">
        <v>75</v>
      </c>
      <c r="C5" s="17" t="s">
        <v>76</v>
      </c>
      <c r="D5" s="17" t="s">
        <v>77</v>
      </c>
      <c r="E5" s="17" t="s">
        <v>78</v>
      </c>
      <c r="F5" s="17" t="s">
        <v>79</v>
      </c>
    </row>
    <row r="6" customFormat="false" ht="35.05" hidden="false" customHeight="false" outlineLevel="0" collapsed="false">
      <c r="A6" s="19" t="s">
        <v>55</v>
      </c>
      <c r="B6" s="20" t="s">
        <v>80</v>
      </c>
      <c r="C6" s="20" t="s">
        <v>81</v>
      </c>
      <c r="D6" s="20" t="s">
        <v>77</v>
      </c>
      <c r="E6" s="20" t="s">
        <v>82</v>
      </c>
      <c r="F6" s="20" t="s">
        <v>83</v>
      </c>
    </row>
    <row r="7" customFormat="false" ht="35.05" hidden="false" customHeight="false" outlineLevel="0" collapsed="false">
      <c r="A7" s="16" t="s">
        <v>57</v>
      </c>
      <c r="B7" s="17" t="s">
        <v>84</v>
      </c>
      <c r="C7" s="17" t="s">
        <v>85</v>
      </c>
      <c r="D7" s="17" t="s">
        <v>86</v>
      </c>
      <c r="E7" s="17" t="s">
        <v>87</v>
      </c>
      <c r="F7" s="17" t="s">
        <v>88</v>
      </c>
    </row>
    <row r="8" customFormat="false" ht="35.05" hidden="false" customHeight="false" outlineLevel="0" collapsed="false">
      <c r="A8" s="19" t="s">
        <v>59</v>
      </c>
      <c r="B8" s="20" t="s">
        <v>89</v>
      </c>
      <c r="C8" s="20" t="s">
        <v>90</v>
      </c>
      <c r="D8" s="20" t="s">
        <v>91</v>
      </c>
      <c r="E8" s="20" t="s">
        <v>92</v>
      </c>
      <c r="F8" s="20" t="s">
        <v>93</v>
      </c>
    </row>
    <row r="9" customFormat="false" ht="35.05" hidden="false" customHeight="false" outlineLevel="0" collapsed="false">
      <c r="A9" s="16" t="s">
        <v>62</v>
      </c>
      <c r="B9" s="17" t="s">
        <v>94</v>
      </c>
      <c r="C9" s="17" t="s">
        <v>95</v>
      </c>
      <c r="D9" s="17" t="s">
        <v>77</v>
      </c>
      <c r="E9" s="17" t="s">
        <v>96</v>
      </c>
      <c r="F9" s="17" t="s">
        <v>88</v>
      </c>
    </row>
    <row r="10" customFormat="false" ht="35.05" hidden="false" customHeight="false" outlineLevel="0" collapsed="false">
      <c r="A10" s="19" t="s">
        <v>64</v>
      </c>
      <c r="B10" s="20" t="s">
        <v>97</v>
      </c>
      <c r="C10" s="20" t="s">
        <v>98</v>
      </c>
      <c r="D10" s="20" t="s">
        <v>77</v>
      </c>
      <c r="E10" s="20" t="s">
        <v>99</v>
      </c>
      <c r="F10" s="20" t="s">
        <v>100</v>
      </c>
    </row>
    <row r="11" customFormat="false" ht="46.25" hidden="false" customHeight="false" outlineLevel="0" collapsed="false">
      <c r="A11" s="16" t="s">
        <v>66</v>
      </c>
      <c r="B11" s="17" t="s">
        <v>101</v>
      </c>
      <c r="C11" s="17" t="s">
        <v>102</v>
      </c>
      <c r="D11" s="17" t="s">
        <v>77</v>
      </c>
      <c r="E11" s="17" t="s">
        <v>103</v>
      </c>
      <c r="F11" s="17" t="s">
        <v>104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4" min="4" style="0" width="14"/>
    <col collapsed="false" customWidth="true" hidden="false" outlineLevel="0" max="6" min="5" style="0" width="16"/>
  </cols>
  <sheetData>
    <row r="1" customFormat="false" ht="17.35" hidden="false" customHeight="false" outlineLevel="0" collapsed="false">
      <c r="A1" s="1" t="s">
        <v>105</v>
      </c>
      <c r="B1" s="1"/>
      <c r="C1" s="1"/>
      <c r="D1" s="1"/>
      <c r="E1" s="1"/>
      <c r="F1" s="1"/>
    </row>
    <row r="2" customFormat="false" ht="15" hidden="false" customHeight="false" outlineLevel="0" collapsed="false">
      <c r="A2" s="14" t="s">
        <v>106</v>
      </c>
      <c r="B2" s="14"/>
      <c r="C2" s="14"/>
      <c r="D2" s="14"/>
      <c r="E2" s="14"/>
      <c r="F2" s="14"/>
    </row>
    <row r="4" customFormat="false" ht="26.85" hidden="false" customHeight="false" outlineLevel="0" collapsed="false">
      <c r="A4" s="23" t="s">
        <v>42</v>
      </c>
      <c r="B4" s="23" t="s">
        <v>43</v>
      </c>
      <c r="C4" s="23" t="s">
        <v>7</v>
      </c>
      <c r="D4" s="23" t="s">
        <v>47</v>
      </c>
      <c r="E4" s="23" t="s">
        <v>107</v>
      </c>
      <c r="F4" s="23" t="s">
        <v>9</v>
      </c>
    </row>
    <row r="5" customFormat="false" ht="15" hidden="false" customHeight="false" outlineLevel="0" collapsed="false">
      <c r="A5" s="16" t="s">
        <v>50</v>
      </c>
      <c r="B5" s="17" t="s">
        <v>108</v>
      </c>
      <c r="C5" s="18" t="s">
        <v>10</v>
      </c>
      <c r="D5" s="18" t="s">
        <v>53</v>
      </c>
      <c r="E5" s="18" t="n">
        <v>365</v>
      </c>
      <c r="F5" s="18" t="s">
        <v>11</v>
      </c>
    </row>
    <row r="6" customFormat="false" ht="15" hidden="false" customHeight="false" outlineLevel="0" collapsed="false">
      <c r="A6" s="19" t="s">
        <v>55</v>
      </c>
      <c r="B6" s="20" t="s">
        <v>56</v>
      </c>
      <c r="C6" s="21" t="s">
        <v>10</v>
      </c>
      <c r="D6" s="21" t="s">
        <v>53</v>
      </c>
      <c r="E6" s="21" t="n">
        <v>365</v>
      </c>
      <c r="F6" s="21" t="s">
        <v>11</v>
      </c>
    </row>
    <row r="7" customFormat="false" ht="15" hidden="false" customHeight="false" outlineLevel="0" collapsed="false">
      <c r="A7" s="16" t="s">
        <v>57</v>
      </c>
      <c r="B7" s="17" t="s">
        <v>58</v>
      </c>
      <c r="C7" s="18" t="s">
        <v>12</v>
      </c>
      <c r="D7" s="18" t="s">
        <v>109</v>
      </c>
      <c r="E7" s="18" t="n">
        <v>76</v>
      </c>
      <c r="F7" s="18" t="s">
        <v>13</v>
      </c>
    </row>
    <row r="8" customFormat="false" ht="15" hidden="false" customHeight="false" outlineLevel="0" collapsed="false">
      <c r="A8" s="19" t="s">
        <v>59</v>
      </c>
      <c r="B8" s="20" t="s">
        <v>60</v>
      </c>
      <c r="C8" s="21" t="s">
        <v>10</v>
      </c>
      <c r="D8" s="21" t="s">
        <v>110</v>
      </c>
      <c r="E8" s="21" t="n">
        <v>31</v>
      </c>
      <c r="F8" s="21" t="s">
        <v>13</v>
      </c>
    </row>
    <row r="9" customFormat="false" ht="15" hidden="false" customHeight="false" outlineLevel="0" collapsed="false">
      <c r="A9" s="16" t="s">
        <v>62</v>
      </c>
      <c r="B9" s="17" t="s">
        <v>63</v>
      </c>
      <c r="C9" s="18" t="s">
        <v>14</v>
      </c>
      <c r="D9" s="18" t="s">
        <v>111</v>
      </c>
      <c r="E9" s="18" t="n">
        <v>122</v>
      </c>
      <c r="F9" s="18" t="s">
        <v>11</v>
      </c>
    </row>
    <row r="10" customFormat="false" ht="15" hidden="false" customHeight="false" outlineLevel="0" collapsed="false">
      <c r="A10" s="19" t="s">
        <v>64</v>
      </c>
      <c r="B10" s="20" t="s">
        <v>65</v>
      </c>
      <c r="C10" s="21" t="s">
        <v>16</v>
      </c>
      <c r="D10" s="21" t="s">
        <v>112</v>
      </c>
      <c r="E10" s="21" t="n">
        <v>184</v>
      </c>
      <c r="F10" s="21" t="s">
        <v>11</v>
      </c>
    </row>
    <row r="11" customFormat="false" ht="15" hidden="false" customHeight="false" outlineLevel="0" collapsed="false">
      <c r="A11" s="16" t="s">
        <v>66</v>
      </c>
      <c r="B11" s="17" t="s">
        <v>113</v>
      </c>
      <c r="C11" s="18" t="s">
        <v>16</v>
      </c>
      <c r="D11" s="18" t="s">
        <v>114</v>
      </c>
      <c r="E11" s="18" t="n">
        <v>245</v>
      </c>
      <c r="F11" s="18" t="s">
        <v>11</v>
      </c>
    </row>
  </sheetData>
  <mergeCells count="2">
    <mergeCell ref="A1:F1"/>
    <mergeCell ref="A2:F2"/>
  </mergeCells>
  <conditionalFormatting sqref="F5:F11">
    <cfRule type="cellIs" priority="2" operator="equal" aboveAverage="0" equalAverage="0" bottom="0" percent="0" rank="0" text="" dxfId="8">
      <formula>"DUE SOON"</formula>
    </cfRule>
    <cfRule type="cellIs" priority="3" operator="equal" aboveAverage="0" equalAverage="0" bottom="0" percent="0" rank="0" text="" dxfId="7">
      <formula>"Upcoming"</formula>
    </cfRule>
    <cfRule type="cellIs" priority="4" operator="equal" aboveAverage="0" equalAverage="0" bottom="0" percent="0" rank="0" text="" dxfId="6">
      <formula>"On Track"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8"/>
    <col collapsed="false" customWidth="true" hidden="false" outlineLevel="0" max="4" min="4" style="0" width="35"/>
    <col collapsed="false" customWidth="true" hidden="false" outlineLevel="0" max="5" min="5" style="0" width="30"/>
    <col collapsed="false" customWidth="true" hidden="false" outlineLevel="0" max="6" min="6" style="0" width="12"/>
    <col collapsed="false" customWidth="true" hidden="false" outlineLevel="0" max="7" min="7" style="0" width="16"/>
    <col collapsed="false" customWidth="true" hidden="false" outlineLevel="0" max="9" min="8" style="0" width="14"/>
  </cols>
  <sheetData>
    <row r="1" customFormat="false" ht="17.35" hidden="false" customHeight="false" outlineLevel="0" collapsed="false">
      <c r="A1" s="1" t="s">
        <v>115</v>
      </c>
      <c r="B1" s="1"/>
      <c r="C1" s="1"/>
      <c r="D1" s="1"/>
      <c r="E1" s="1"/>
      <c r="F1" s="1"/>
      <c r="G1" s="1"/>
      <c r="H1" s="1"/>
      <c r="I1" s="1"/>
    </row>
    <row r="2" customFormat="false" ht="15" hidden="false" customHeight="false" outlineLevel="0" collapsed="false">
      <c r="A2" s="14" t="s">
        <v>116</v>
      </c>
      <c r="B2" s="14"/>
      <c r="C2" s="14"/>
      <c r="D2" s="14"/>
      <c r="E2" s="14"/>
      <c r="F2" s="14"/>
      <c r="G2" s="14"/>
      <c r="H2" s="14"/>
      <c r="I2" s="14"/>
    </row>
    <row r="4" customFormat="false" ht="26.85" hidden="false" customHeight="false" outlineLevel="0" collapsed="false">
      <c r="A4" s="24" t="s">
        <v>117</v>
      </c>
      <c r="B4" s="24" t="s">
        <v>118</v>
      </c>
      <c r="C4" s="24" t="s">
        <v>119</v>
      </c>
      <c r="D4" s="24" t="s">
        <v>120</v>
      </c>
      <c r="E4" s="24" t="s">
        <v>121</v>
      </c>
      <c r="F4" s="24" t="s">
        <v>122</v>
      </c>
      <c r="G4" s="24" t="s">
        <v>123</v>
      </c>
      <c r="H4" s="24" t="s">
        <v>124</v>
      </c>
      <c r="I4" s="24" t="s">
        <v>125</v>
      </c>
    </row>
    <row r="5" customFormat="false" ht="46.25" hidden="false" customHeight="false" outlineLevel="0" collapsed="false">
      <c r="A5" s="16" t="s">
        <v>126</v>
      </c>
      <c r="B5" s="18" t="s">
        <v>55</v>
      </c>
      <c r="C5" s="17" t="s">
        <v>127</v>
      </c>
      <c r="D5" s="17" t="s">
        <v>128</v>
      </c>
      <c r="E5" s="17" t="s">
        <v>129</v>
      </c>
      <c r="F5" s="18" t="s">
        <v>130</v>
      </c>
      <c r="G5" s="17" t="s">
        <v>131</v>
      </c>
      <c r="H5" s="18" t="s">
        <v>132</v>
      </c>
      <c r="I5" s="18" t="s">
        <v>133</v>
      </c>
    </row>
    <row r="6" customFormat="false" ht="46.25" hidden="false" customHeight="false" outlineLevel="0" collapsed="false">
      <c r="A6" s="19" t="s">
        <v>134</v>
      </c>
      <c r="B6" s="21" t="s">
        <v>64</v>
      </c>
      <c r="C6" s="20" t="s">
        <v>135</v>
      </c>
      <c r="D6" s="20" t="s">
        <v>136</v>
      </c>
      <c r="E6" s="20" t="s">
        <v>137</v>
      </c>
      <c r="F6" s="21" t="s">
        <v>138</v>
      </c>
      <c r="G6" s="20" t="s">
        <v>10</v>
      </c>
      <c r="H6" s="21" t="s">
        <v>139</v>
      </c>
      <c r="I6" s="21" t="s">
        <v>140</v>
      </c>
    </row>
    <row r="7" customFormat="false" ht="57.45" hidden="false" customHeight="false" outlineLevel="0" collapsed="false">
      <c r="A7" s="16" t="s">
        <v>141</v>
      </c>
      <c r="B7" s="18" t="s">
        <v>62</v>
      </c>
      <c r="C7" s="17" t="s">
        <v>142</v>
      </c>
      <c r="D7" s="17" t="s">
        <v>143</v>
      </c>
      <c r="E7" s="17" t="s">
        <v>144</v>
      </c>
      <c r="F7" s="18" t="s">
        <v>145</v>
      </c>
      <c r="G7" s="17" t="s">
        <v>146</v>
      </c>
      <c r="H7" s="18" t="s">
        <v>147</v>
      </c>
      <c r="I7" s="18" t="s">
        <v>148</v>
      </c>
    </row>
  </sheetData>
  <mergeCells count="2">
    <mergeCell ref="A1:I1"/>
    <mergeCell ref="A2:I2"/>
  </mergeCells>
  <conditionalFormatting sqref="F5:F7">
    <cfRule type="cellIs" priority="2" operator="equal" aboveAverage="0" equalAverage="0" bottom="0" percent="0" rank="0" text="" dxfId="9">
      <formula>"Critical"</formula>
    </cfRule>
    <cfRule type="cellIs" priority="3" operator="equal" aboveAverage="0" equalAverage="0" bottom="0" percent="0" rank="0" text="" dxfId="8">
      <formula>"High"</formula>
    </cfRule>
    <cfRule type="cellIs" priority="4" operator="equal" aboveAverage="0" equalAverage="0" bottom="0" percent="0" rank="0" text="" dxfId="7">
      <formula>"Medium"</formula>
    </cfRule>
    <cfRule type="cellIs" priority="5" operator="equal" aboveAverage="0" equalAverage="0" bottom="0" percent="0" rank="0" text="" dxfId="6">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2026-05-25T05:01:26Z</dcterms:created>
  <dc:creator>openpyxl</dc:creator>
  <dc:description/>
  <dc:language>en-US</dc:language>
  <cp:lastModifiedBy/>
  <dcterms:modified xsi:type="dcterms:W3CDTF">2026-05-25T05:01:30Z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